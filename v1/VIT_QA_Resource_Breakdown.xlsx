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 Used" sheetId="1" state="visible" r:id="rId1"/>
    <sheet xmlns:r="http://schemas.openxmlformats.org/officeDocument/2006/relationships" name="Excluded (non-public)" sheetId="2" state="visible" r:id="rId2"/>
    <sheet xmlns:r="http://schemas.openxmlformats.org/officeDocument/2006/relationships" name="Cleanup Summary" sheetId="3" state="visible" r:id="rId3"/>
  </sheets>
  <definedNames>
    <definedName name="_xlnm._FilterDatabase" localSheetId="0" hidden="1">'Resources Used'!$A$4:$J$92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color rgb="000000FF"/>
      <sz val="10"/>
    </font>
    <font>
      <name val="Arial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8CED8"/>
      </left>
      <right style="thin">
        <color rgb="00C8CED8"/>
      </right>
      <top style="thin">
        <color rgb="00C8CED8"/>
      </top>
      <bottom style="thin">
        <color rgb="00C8CE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4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t.ac.in/wp-content/uploads/2024/09/B.Tech-Artificial-Intelligence-and-Data-Engineering-curriculum-2024-2025.pdf" TargetMode="External" Id="rId1"/><Relationship Type="http://schemas.openxmlformats.org/officeDocument/2006/relationships/hyperlink" Target="https://vit.ac.in/sites/default/files/academic/Academic-Regulations.pdf" TargetMode="External" Id="rId2"/><Relationship Type="http://schemas.openxmlformats.org/officeDocument/2006/relationships/hyperlink" Target="https://vit.ac.in/research-guide-directory-2026" TargetMode="External" Id="rId3"/><Relationship Type="http://schemas.openxmlformats.org/officeDocument/2006/relationships/hyperlink" Target="https://vit.ac.in/wp-content/uploads/2023/06/Codeofconduct.pdf" TargetMode="External" Id="rId4"/><Relationship Type="http://schemas.openxmlformats.org/officeDocument/2006/relationships/hyperlink" Target="https://vit.ac.in/wp-content/uploads/2025/08/B.Tech-CSE-BUSINESS-Systems-AY-2024-2025-Curriculam.pdf" TargetMode="External" Id="rId5"/><Relationship Type="http://schemas.openxmlformats.org/officeDocument/2006/relationships/hyperlink" Target="https://vit.ac.in/wp-content/uploads/2025/08/Acad_Calendar_for_Fall_Semester_2025_26_Seniors.pdf" TargetMode="External" Id="rId6"/><Relationship Type="http://schemas.openxmlformats.org/officeDocument/2006/relationships/hyperlink" Target="https://vit.ac.in/wp-content/uploads/2024/08/B.Tech_CSE_2024_2025.pdf" TargetMode="External" Id="rId7"/><Relationship Type="http://schemas.openxmlformats.org/officeDocument/2006/relationships/hyperlink" Target="https://vit.ac.in/wp-content/uploads/2025/08/B.Tech-CSE-Bio-Informatics-AY-2024-2025-Curriculam.pdf" TargetMode="External" Id="rId8"/><Relationship Type="http://schemas.openxmlformats.org/officeDocument/2006/relationships/hyperlink" Target="https://vit.ac.in/wp-content/uploads/2024/09/B.Tech-Cyber-Security-Curriuclum-2024-2025.pdf" TargetMode="External" Id="rId9"/><Relationship Type="http://schemas.openxmlformats.org/officeDocument/2006/relationships/hyperlink" Target="https://vit.ac.in/research-guide-directory-2026" TargetMode="External" Id="rId10"/><Relationship Type="http://schemas.openxmlformats.org/officeDocument/2006/relationships/hyperlink" Target="https://vit.ac.in/research-guide-directory-2026" TargetMode="External" Id="rId11"/><Relationship Type="http://schemas.openxmlformats.org/officeDocument/2006/relationships/hyperlink" Target="https://vit.ac.in/research-guide-directory-2026" TargetMode="External" Id="rId12"/><Relationship Type="http://schemas.openxmlformats.org/officeDocument/2006/relationships/hyperlink" Target="https://vit.ac.in/research-guide-directory-2026" TargetMode="External" Id="rId13"/><Relationship Type="http://schemas.openxmlformats.org/officeDocument/2006/relationships/hyperlink" Target="https://vit.ac.in/wp-content/uploads/2025/05/MH-Senior-FEE-structure-Indian-NRI-FOREIGN-Category-2025-26.pdf" TargetMode="External" Id="rId14"/><Relationship Type="http://schemas.openxmlformats.org/officeDocument/2006/relationships/hyperlink" Target="https://vit.ac.in/admissions/research" TargetMode="External" Id="rId15"/><Relationship Type="http://schemas.openxmlformats.org/officeDocument/2006/relationships/hyperlink" Target="https://vit.ac.in/research-guide-directory-2026" TargetMode="External" Id="rId16"/><Relationship Type="http://schemas.openxmlformats.org/officeDocument/2006/relationships/hyperlink" Target="https://vit.ac.in/research-guide-directory-2026" TargetMode="External" Id="rId17"/><Relationship Type="http://schemas.openxmlformats.org/officeDocument/2006/relationships/hyperlink" Target="https://vit.ac.in/research-guide-directory-2026" TargetMode="External" Id="rId18"/><Relationship Type="http://schemas.openxmlformats.org/officeDocument/2006/relationships/hyperlink" Target="https://vit.ac.in/research-guide-directory-2026" TargetMode="External" Id="rId19"/><Relationship Type="http://schemas.openxmlformats.org/officeDocument/2006/relationships/hyperlink" Target="https://vit.ac.in/research-guide-directory-2026" TargetMode="External" Id="rId20"/><Relationship Type="http://schemas.openxmlformats.org/officeDocument/2006/relationships/hyperlink" Target="https://vit.ac.in/research-guide-directory-2026" TargetMode="External" Id="rId21"/><Relationship Type="http://schemas.openxmlformats.org/officeDocument/2006/relationships/hyperlink" Target="https://vit.ac.in/research-guide-directory-2026" TargetMode="External" Id="rId22"/><Relationship Type="http://schemas.openxmlformats.org/officeDocument/2006/relationships/hyperlink" Target="https://vit.ac.in/research-guide-directory-202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26" customWidth="1" min="4" max="4"/>
    <col width="60" customWidth="1" min="5" max="5"/>
    <col width="11" customWidth="1" min="6" max="6"/>
    <col width="10" customWidth="1" min="7" max="7"/>
    <col width="11" customWidth="1" min="8" max="8"/>
    <col width="10" customWidth="1" min="9" max="9"/>
    <col width="70" customWidth="1" min="10" max="10"/>
  </cols>
  <sheetData>
    <row r="1">
      <c r="A1" s="1" t="inlineStr">
        <is>
          <t>Resources used to build final_qa_dataset.csv</t>
        </is>
      </c>
    </row>
    <row r="2">
      <c r="A2" s="2" t="inlineStr">
        <is>
          <t>One row per source document. "Original" = questions already in the dataset after removing non-public rows; "New" = questions written from newly found public documents.</t>
        </is>
      </c>
    </row>
    <row r="4" ht="32" customHeight="1">
      <c r="A4" s="3" t="inlineStr">
        <is>
          <t>#</t>
        </is>
      </c>
      <c r="B4" s="3" t="inlineStr">
        <is>
          <t>Resource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Source URL / where to find it</t>
        </is>
      </c>
      <c r="F4" s="3" t="inlineStr">
        <is>
          <t>Original questions</t>
        </is>
      </c>
      <c r="G4" s="3" t="inlineStr">
        <is>
          <t>New questions</t>
        </is>
      </c>
      <c r="H4" s="3" t="inlineStr">
        <is>
          <t>Total questions</t>
        </is>
      </c>
      <c r="I4" s="3" t="inlineStr">
        <is>
          <t>% of dataset</t>
        </is>
      </c>
      <c r="J4" s="3" t="inlineStr">
        <is>
          <t>Notes</t>
        </is>
      </c>
    </row>
    <row r="5">
      <c r="A5" s="4" t="n">
        <v>1</v>
      </c>
      <c r="B5" s="5" t="inlineStr">
        <is>
          <t>General VIT curriculum content (source PDF not individually identified)</t>
        </is>
      </c>
      <c r="C5" s="5" t="inlineStr">
        <is>
          <t>Curriculum &amp; syllabus</t>
        </is>
      </c>
      <c r="D5" s="6" t="inlineStr">
        <is>
          <t>Public site, URL not recorded</t>
        </is>
      </c>
      <c r="E5" s="5" t="inlineStr">
        <is>
          <t>—</t>
        </is>
      </c>
      <c r="F5" s="4" t="n">
        <v>558</v>
      </c>
      <c r="G5" s="4" t="n">
        <v>0</v>
      </c>
      <c r="H5" s="4">
        <f>F5+G5</f>
        <v/>
      </c>
      <c r="I5" s="7">
        <f>H5/$H$93</f>
        <v/>
      </c>
      <c r="J5" s="5" t="inlineStr">
        <is>
          <t>Rows clearly grounded in a VIT curriculum PDF (credit structure, evaluation mode, PEOs...) but not auto-matched to one specific file among the 90+ scanned.</t>
        </is>
      </c>
    </row>
    <row r="6">
      <c r="A6" s="4" t="n">
        <v>2</v>
      </c>
      <c r="B6" s="5" t="inlineStr">
        <is>
          <t>VIT Vellore Clubs, Chapters &amp; Teams Handbook 2025-26</t>
        </is>
      </c>
      <c r="C6" s="5" t="inlineStr">
        <is>
          <t>Student life handbook</t>
        </is>
      </c>
      <c r="D6" s="8" t="inlineStr">
        <is>
          <t>NOT verified - decision needed</t>
        </is>
      </c>
      <c r="E6" s="5" t="inlineStr">
        <is>
          <t>—</t>
        </is>
      </c>
      <c r="F6" s="4" t="n">
        <v>108</v>
      </c>
      <c r="G6" s="4" t="n">
        <v>0</v>
      </c>
      <c r="H6" s="4">
        <f>F6+G6</f>
        <v/>
      </c>
      <c r="I6" s="7">
        <f>H6/$H$93</f>
        <v/>
      </c>
      <c r="J6" s="5" t="inlineStr">
        <is>
          <t>Searched twice for this PDF on vit.ac.in and the wider web; not found. The clubs list itself is public on vit.ac.in/campuslife, but this handbook may not be.</t>
        </is>
      </c>
    </row>
    <row r="7">
      <c r="A7" s="4" t="n">
        <v>3</v>
      </c>
      <c r="B7" s="5" t="inlineStr">
        <is>
          <t>B.Tech CSE (AI &amp; Data Engineering) Curriculum 2024-25</t>
        </is>
      </c>
      <c r="C7" s="5" t="inlineStr">
        <is>
          <t>Curriculum &amp; syllabus</t>
        </is>
      </c>
      <c r="D7" s="9" t="inlineStr">
        <is>
          <t>Verified public</t>
        </is>
      </c>
      <c r="E7" s="10" t="inlineStr">
        <is>
          <t>https://vit.ac.in/wp-content/uploads/2024/09/B.Tech-Artificial-Intelligence-and-Data-Engineering-curriculum-2024-2025.pdf</t>
        </is>
      </c>
      <c r="F7" s="4" t="n">
        <v>77</v>
      </c>
      <c r="G7" s="4" t="n">
        <v>0</v>
      </c>
      <c r="H7" s="4">
        <f>F7+G7</f>
        <v/>
      </c>
      <c r="I7" s="7">
        <f>H7/$H$93</f>
        <v/>
      </c>
      <c r="J7" s="5" t="inlineStr"/>
    </row>
    <row r="8">
      <c r="A8" s="4" t="n">
        <v>4</v>
      </c>
      <c r="B8" s="5" t="inlineStr">
        <is>
          <t>VIT FFCS Academic Regulations v4.0</t>
        </is>
      </c>
      <c r="C8" s="5" t="inlineStr">
        <is>
          <t>Regulations</t>
        </is>
      </c>
      <c r="D8" s="9" t="inlineStr">
        <is>
          <t>Verified public</t>
        </is>
      </c>
      <c r="E8" s="10" t="inlineStr">
        <is>
          <t>https://vit.ac.in/sites/default/files/academic/Academic-Regulations.pdf</t>
        </is>
      </c>
      <c r="F8" s="4" t="n">
        <v>56</v>
      </c>
      <c r="G8" s="4" t="n">
        <v>18</v>
      </c>
      <c r="H8" s="4">
        <f>F8+G8</f>
        <v/>
      </c>
      <c r="I8" s="7">
        <f>H8/$H$93</f>
        <v/>
      </c>
      <c r="J8" s="5" t="inlineStr"/>
    </row>
    <row r="9">
      <c r="A9" s="4" t="n">
        <v>5</v>
      </c>
      <c r="B9" s="5" t="inlineStr">
        <is>
          <t>B.Tech Electronics &amp; Communication Engineering Curriculum 2023-24</t>
        </is>
      </c>
      <c r="C9" s="5" t="inlineStr">
        <is>
          <t>Curriculum &amp; syllabus</t>
        </is>
      </c>
      <c r="D9" s="6" t="inlineStr">
        <is>
          <t>Public site, URL not recorded</t>
        </is>
      </c>
      <c r="E9" s="5" t="inlineStr">
        <is>
          <t>—</t>
        </is>
      </c>
      <c r="F9" s="4" t="n">
        <v>65</v>
      </c>
      <c r="G9" s="4" t="n">
        <v>0</v>
      </c>
      <c r="H9" s="4">
        <f>F9+G9</f>
        <v/>
      </c>
      <c r="I9" s="7">
        <f>H9/$H$93</f>
        <v/>
      </c>
      <c r="J9" s="5" t="inlineStr">
        <is>
          <t>Curriculum PDFs follow the vit.ac.in/wp-content/uploads/ series; same filename pattern as the verified ones.</t>
        </is>
      </c>
    </row>
    <row r="10">
      <c r="A10" s="4" t="n">
        <v>6</v>
      </c>
      <c r="B10" s="5" t="inlineStr">
        <is>
          <t>B.Tech Civil Engineering (L&amp;T spec.) Curriculum 2024-25</t>
        </is>
      </c>
      <c r="C10" s="5" t="inlineStr">
        <is>
          <t>Curriculum &amp; syllabus</t>
        </is>
      </c>
      <c r="D10" s="6" t="inlineStr">
        <is>
          <t>Public site, URL not recorded</t>
        </is>
      </c>
      <c r="E10" s="5" t="inlineStr">
        <is>
          <t>—</t>
        </is>
      </c>
      <c r="F10" s="4" t="n">
        <v>59</v>
      </c>
      <c r="G10" s="4" t="n">
        <v>0</v>
      </c>
      <c r="H10" s="4">
        <f>F10+G10</f>
        <v/>
      </c>
      <c r="I10" s="7">
        <f>H10/$H$93</f>
        <v/>
      </c>
      <c r="J10" s="5" t="inlineStr">
        <is>
          <t>Curriculum PDFs follow the vit.ac.in/wp-content/uploads/ series; same filename pattern as the verified ones.</t>
        </is>
      </c>
    </row>
    <row r="11">
      <c r="A11" s="4" t="n">
        <v>7</v>
      </c>
      <c r="B11" s="5" t="inlineStr">
        <is>
          <t>B.Tech Chemical Engineering Curriculum 2025</t>
        </is>
      </c>
      <c r="C11" s="5" t="inlineStr">
        <is>
          <t>Curriculum &amp; syllabus</t>
        </is>
      </c>
      <c r="D11" s="6" t="inlineStr">
        <is>
          <t>Public site, URL not recorded</t>
        </is>
      </c>
      <c r="E11" s="5" t="inlineStr">
        <is>
          <t>—</t>
        </is>
      </c>
      <c r="F11" s="4" t="n">
        <v>59</v>
      </c>
      <c r="G11" s="4" t="n">
        <v>0</v>
      </c>
      <c r="H11" s="4">
        <f>F11+G11</f>
        <v/>
      </c>
      <c r="I11" s="7">
        <f>H11/$H$93</f>
        <v/>
      </c>
      <c r="J11" s="5" t="inlineStr">
        <is>
          <t>Curriculum PDFs follow the vit.ac.in/wp-content/uploads/ series; same filename pattern as the verified ones.</t>
        </is>
      </c>
    </row>
    <row r="12">
      <c r="A12" s="4" t="n">
        <v>8</v>
      </c>
      <c r="B12" s="5" t="inlineStr">
        <is>
          <t>Ph.D. fellowship / admissions rows (VITREE brochure &amp; Research Guides; exact file not identified)</t>
        </is>
      </c>
      <c r="C12" s="5" t="inlineStr">
        <is>
          <t>Ph.D. admissions / fellowship</t>
        </is>
      </c>
      <c r="D12" s="6" t="inlineStr">
        <is>
          <t>Public site, URL not recorded</t>
        </is>
      </c>
      <c r="E12" s="10" t="inlineStr">
        <is>
          <t>https://vit.ac.in/research-guide-directory-2026</t>
        </is>
      </c>
      <c r="F12" s="4" t="n">
        <v>59</v>
      </c>
      <c r="G12" s="4" t="n">
        <v>0</v>
      </c>
      <c r="H12" s="4">
        <f>F12+G12</f>
        <v/>
      </c>
      <c r="I12" s="7">
        <f>H12/$H$93</f>
        <v/>
      </c>
      <c r="J12" s="5" t="inlineStr">
        <is>
          <t>Generic Ph.D. fellowship, stipend and eligibility questions. Probably from the VITREE brochure or the Research Guides, but the exact file was not identified.</t>
        </is>
      </c>
    </row>
    <row r="13">
      <c r="A13" s="4" t="n">
        <v>9</v>
      </c>
      <c r="B13" s="5" t="inlineStr">
        <is>
          <t>VIT Code of Conduct - Hostel and Campus 2023</t>
        </is>
      </c>
      <c r="C13" s="5" t="inlineStr">
        <is>
          <t>Code of conduct</t>
        </is>
      </c>
      <c r="D13" s="9" t="inlineStr">
        <is>
          <t>Verified public</t>
        </is>
      </c>
      <c r="E13" s="10" t="inlineStr">
        <is>
          <t>https://vit.ac.in/wp-content/uploads/2023/06/Codeofconduct.pdf</t>
        </is>
      </c>
      <c r="F13" s="4" t="n">
        <v>51</v>
      </c>
      <c r="G13" s="4" t="n">
        <v>3</v>
      </c>
      <c r="H13" s="4">
        <f>F13+G13</f>
        <v/>
      </c>
      <c r="I13" s="7">
        <f>H13/$H$93</f>
        <v/>
      </c>
      <c r="J13" s="5" t="inlineStr"/>
    </row>
    <row r="14">
      <c r="A14" s="4" t="n">
        <v>10</v>
      </c>
      <c r="B14" s="5" t="inlineStr">
        <is>
          <t>B.Tech CSE (AI &amp; Machine Learning) Curriculum 2024-25</t>
        </is>
      </c>
      <c r="C14" s="5" t="inlineStr">
        <is>
          <t>Curriculum &amp; syllabus</t>
        </is>
      </c>
      <c r="D14" s="6" t="inlineStr">
        <is>
          <t>Public site, URL not recorded</t>
        </is>
      </c>
      <c r="E14" s="5" t="inlineStr">
        <is>
          <t>—</t>
        </is>
      </c>
      <c r="F14" s="4" t="n">
        <v>53</v>
      </c>
      <c r="G14" s="4" t="n">
        <v>0</v>
      </c>
      <c r="H14" s="4">
        <f>F14+G14</f>
        <v/>
      </c>
      <c r="I14" s="7">
        <f>H14/$H$93</f>
        <v/>
      </c>
      <c r="J14" s="5" t="inlineStr">
        <is>
          <t>Curriculum PDFs follow the vit.ac.in/wp-content/uploads/ series; same filename pattern as the verified ones.</t>
        </is>
      </c>
    </row>
    <row r="15">
      <c r="A15" s="4" t="n">
        <v>11</v>
      </c>
      <c r="B15" s="5" t="inlineStr">
        <is>
          <t>B.Tech CSE &amp; Business Systems (with TCS) Curriculum 2024-25</t>
        </is>
      </c>
      <c r="C15" s="5" t="inlineStr">
        <is>
          <t>Curriculum &amp; syllabus</t>
        </is>
      </c>
      <c r="D15" s="9" t="inlineStr">
        <is>
          <t>Verified public</t>
        </is>
      </c>
      <c r="E15" s="10" t="inlineStr">
        <is>
          <t>https://vit.ac.in/wp-content/uploads/2025/08/B.Tech-CSE-BUSINESS-Systems-AY-2024-2025-Curriculam.pdf</t>
        </is>
      </c>
      <c r="F15" s="4" t="n">
        <v>45</v>
      </c>
      <c r="G15" s="4" t="n">
        <v>0</v>
      </c>
      <c r="H15" s="4">
        <f>F15+G15</f>
        <v/>
      </c>
      <c r="I15" s="7">
        <f>H15/$H$93</f>
        <v/>
      </c>
      <c r="J15" s="5" t="inlineStr"/>
    </row>
    <row r="16">
      <c r="A16" s="4" t="n">
        <v>12</v>
      </c>
      <c r="B16" s="5" t="inlineStr">
        <is>
          <t>B.Tech Mechanical Engineering (Electric Vehicles) Curriculum</t>
        </is>
      </c>
      <c r="C16" s="5" t="inlineStr">
        <is>
          <t>Curriculum &amp; syllabus</t>
        </is>
      </c>
      <c r="D16" s="6" t="inlineStr">
        <is>
          <t>Public site, URL not recorded</t>
        </is>
      </c>
      <c r="E16" s="5" t="inlineStr">
        <is>
          <t>—</t>
        </is>
      </c>
      <c r="F16" s="4" t="n">
        <v>45</v>
      </c>
      <c r="G16" s="4" t="n">
        <v>0</v>
      </c>
      <c r="H16" s="4">
        <f>F16+G16</f>
        <v/>
      </c>
      <c r="I16" s="7">
        <f>H16/$H$93</f>
        <v/>
      </c>
      <c r="J16" s="5" t="inlineStr">
        <is>
          <t>Curriculum PDFs follow the vit.ac.in/wp-content/uploads/ series; same filename pattern as the verified ones.</t>
        </is>
      </c>
    </row>
    <row r="17">
      <c r="A17" s="4" t="n">
        <v>13</v>
      </c>
      <c r="B17" s="5" t="inlineStr">
        <is>
          <t>B.Tech Information Technology Curriculum 2023-24</t>
        </is>
      </c>
      <c r="C17" s="5" t="inlineStr">
        <is>
          <t>Curriculum &amp; syllabus</t>
        </is>
      </c>
      <c r="D17" s="6" t="inlineStr">
        <is>
          <t>Public site, URL not recorded</t>
        </is>
      </c>
      <c r="E17" s="5" t="inlineStr">
        <is>
          <t>—</t>
        </is>
      </c>
      <c r="F17" s="4" t="n">
        <v>44</v>
      </c>
      <c r="G17" s="4" t="n">
        <v>0</v>
      </c>
      <c r="H17" s="4">
        <f>F17+G17</f>
        <v/>
      </c>
      <c r="I17" s="7">
        <f>H17/$H$93</f>
        <v/>
      </c>
      <c r="J17" s="5" t="inlineStr">
        <is>
          <t>Curriculum PDFs follow the vit.ac.in/wp-content/uploads/ series; same filename pattern as the verified ones.</t>
        </is>
      </c>
    </row>
    <row r="18">
      <c r="A18" s="4" t="n">
        <v>14</v>
      </c>
      <c r="B18" s="5" t="inlineStr">
        <is>
          <t>B.Tech ECE (VLSI Design) Curriculum 2024-25</t>
        </is>
      </c>
      <c r="C18" s="5" t="inlineStr">
        <is>
          <t>Curriculum &amp; syllabus</t>
        </is>
      </c>
      <c r="D18" s="6" t="inlineStr">
        <is>
          <t>Public site, URL not recorded</t>
        </is>
      </c>
      <c r="E18" s="5" t="inlineStr">
        <is>
          <t>—</t>
        </is>
      </c>
      <c r="F18" s="4" t="n">
        <v>41</v>
      </c>
      <c r="G18" s="4" t="n">
        <v>0</v>
      </c>
      <c r="H18" s="4">
        <f>F18+G18</f>
        <v/>
      </c>
      <c r="I18" s="7">
        <f>H18/$H$93</f>
        <v/>
      </c>
      <c r="J18" s="5" t="inlineStr">
        <is>
          <t>Curriculum PDFs follow the vit.ac.in/wp-content/uploads/ series; same filename pattern as the verified ones.</t>
        </is>
      </c>
    </row>
    <row r="19">
      <c r="A19" s="4" t="n">
        <v>15</v>
      </c>
      <c r="B19" s="5" t="inlineStr">
        <is>
          <t>VIT Official Academic Calendar - Fall Semester</t>
        </is>
      </c>
      <c r="C19" s="5" t="inlineStr">
        <is>
          <t>Academic calendar</t>
        </is>
      </c>
      <c r="D19" s="9" t="inlineStr">
        <is>
          <t>Verified public</t>
        </is>
      </c>
      <c r="E19" s="10" t="inlineStr">
        <is>
          <t>https://vit.ac.in/wp-content/uploads/2025/08/Acad_Calendar_for_Fall_Semester_2025_26_Seniors.pdf</t>
        </is>
      </c>
      <c r="F19" s="4" t="n">
        <v>41</v>
      </c>
      <c r="G19" s="4" t="n">
        <v>0</v>
      </c>
      <c r="H19" s="4">
        <f>F19+G19</f>
        <v/>
      </c>
      <c r="I19" s="7">
        <f>H19/$H$93</f>
        <v/>
      </c>
      <c r="J19" s="5" t="inlineStr">
        <is>
          <t>Verified PDF is the Fall 2025-26 calendar (image-only, no extractable text). Most dataset rows quote Fall 2026-27 dates; only the 6 Jul 2026 start and 12 Nov 2026 FAT start were corroborated (public Scribd mirror). CAT-I/CAT-II dates were NOT independently verified.</t>
        </is>
      </c>
    </row>
    <row r="20">
      <c r="A20" s="4" t="n">
        <v>16</v>
      </c>
      <c r="B20" s="5" t="inlineStr">
        <is>
          <t>B.Tech ECE (Biomedical Engineering) Curriculum 2023-24</t>
        </is>
      </c>
      <c r="C20" s="5" t="inlineStr">
        <is>
          <t>Curriculum &amp; syllabus</t>
        </is>
      </c>
      <c r="D20" s="6" t="inlineStr">
        <is>
          <t>Public site, URL not recorded</t>
        </is>
      </c>
      <c r="E20" s="5" t="inlineStr">
        <is>
          <t>—</t>
        </is>
      </c>
      <c r="F20" s="4" t="n">
        <v>40</v>
      </c>
      <c r="G20" s="4" t="n">
        <v>0</v>
      </c>
      <c r="H20" s="4">
        <f>F20+G20</f>
        <v/>
      </c>
      <c r="I20" s="7">
        <f>H20/$H$93</f>
        <v/>
      </c>
      <c r="J20" s="5" t="inlineStr">
        <is>
          <t>Curriculum PDFs follow the vit.ac.in/wp-content/uploads/ series; same filename pattern as the verified ones.</t>
        </is>
      </c>
    </row>
    <row r="21">
      <c r="A21" s="4" t="n">
        <v>17</v>
      </c>
      <c r="B21" s="5" t="inlineStr">
        <is>
          <t>B.Tech Electrical &amp; Electronics Engineering Curriculum 2025-26</t>
        </is>
      </c>
      <c r="C21" s="5" t="inlineStr">
        <is>
          <t>Curriculum &amp; syllabus</t>
        </is>
      </c>
      <c r="D21" s="6" t="inlineStr">
        <is>
          <t>Public site, URL not recorded</t>
        </is>
      </c>
      <c r="E21" s="5" t="inlineStr">
        <is>
          <t>—</t>
        </is>
      </c>
      <c r="F21" s="4" t="n">
        <v>37</v>
      </c>
      <c r="G21" s="4" t="n">
        <v>0</v>
      </c>
      <c r="H21" s="4">
        <f>F21+G21</f>
        <v/>
      </c>
      <c r="I21" s="7">
        <f>H21/$H$93</f>
        <v/>
      </c>
      <c r="J21" s="5" t="inlineStr">
        <is>
          <t>Curriculum PDFs follow the vit.ac.in/wp-content/uploads/ series; same filename pattern as the verified ones.</t>
        </is>
      </c>
    </row>
    <row r="22">
      <c r="A22" s="4" t="n">
        <v>18</v>
      </c>
      <c r="B22" s="5" t="inlineStr">
        <is>
          <t>B.Tech CSE (Core) Curriculum 2024-25</t>
        </is>
      </c>
      <c r="C22" s="5" t="inlineStr">
        <is>
          <t>Curriculum &amp; syllabus</t>
        </is>
      </c>
      <c r="D22" s="9" t="inlineStr">
        <is>
          <t>Verified public</t>
        </is>
      </c>
      <c r="E22" s="10" t="inlineStr">
        <is>
          <t>https://vit.ac.in/wp-content/uploads/2024/08/B.Tech_CSE_2024_2025.pdf</t>
        </is>
      </c>
      <c r="F22" s="4" t="n">
        <v>34</v>
      </c>
      <c r="G22" s="4" t="n">
        <v>0</v>
      </c>
      <c r="H22" s="4">
        <f>F22+G22</f>
        <v/>
      </c>
      <c r="I22" s="7">
        <f>H22/$H$93</f>
        <v/>
      </c>
      <c r="J22" s="5" t="inlineStr"/>
    </row>
    <row r="23">
      <c r="A23" s="4" t="n">
        <v>19</v>
      </c>
      <c r="B23" s="5" t="inlineStr">
        <is>
          <t>B.Tech CSE (Internet of Things) Curriculum 2024-25</t>
        </is>
      </c>
      <c r="C23" s="5" t="inlineStr">
        <is>
          <t>Curriculum &amp; syllabus</t>
        </is>
      </c>
      <c r="D23" s="6" t="inlineStr">
        <is>
          <t>Public site, URL not recorded</t>
        </is>
      </c>
      <c r="E23" s="5" t="inlineStr">
        <is>
          <t>—</t>
        </is>
      </c>
      <c r="F23" s="4" t="n">
        <v>32</v>
      </c>
      <c r="G23" s="4" t="n">
        <v>0</v>
      </c>
      <c r="H23" s="4">
        <f>F23+G23</f>
        <v/>
      </c>
      <c r="I23" s="7">
        <f>H23/$H$93</f>
        <v/>
      </c>
      <c r="J23" s="5" t="inlineStr">
        <is>
          <t>Curriculum PDFs follow the vit.ac.in/wp-content/uploads/ series; same filename pattern as the verified ones.</t>
        </is>
      </c>
    </row>
    <row r="24">
      <c r="A24" s="4" t="n">
        <v>20</v>
      </c>
      <c r="B24" s="5" t="inlineStr">
        <is>
          <t>M.Tech Applied Computational Fluid Dynamics Curriculum</t>
        </is>
      </c>
      <c r="C24" s="5" t="inlineStr">
        <is>
          <t>Curriculum &amp; syllabus</t>
        </is>
      </c>
      <c r="D24" s="6" t="inlineStr">
        <is>
          <t>Public site, URL not recorded</t>
        </is>
      </c>
      <c r="E24" s="5" t="inlineStr">
        <is>
          <t>—</t>
        </is>
      </c>
      <c r="F24" s="4" t="n">
        <v>31</v>
      </c>
      <c r="G24" s="4" t="n">
        <v>0</v>
      </c>
      <c r="H24" s="4">
        <f>F24+G24</f>
        <v/>
      </c>
      <c r="I24" s="7">
        <f>H24/$H$93</f>
        <v/>
      </c>
      <c r="J24" s="5" t="inlineStr">
        <is>
          <t>Curriculum PDFs follow the vit.ac.in/wp-content/uploads/ series; same filename pattern as the verified ones.</t>
        </is>
      </c>
    </row>
    <row r="25">
      <c r="A25" s="4" t="n">
        <v>21</v>
      </c>
      <c r="B25" s="5" t="inlineStr">
        <is>
          <t>M.Tech Smart Mobility Curriculum</t>
        </is>
      </c>
      <c r="C25" s="5" t="inlineStr">
        <is>
          <t>Curriculum &amp; syllabus</t>
        </is>
      </c>
      <c r="D25" s="6" t="inlineStr">
        <is>
          <t>Public site, URL not recorded</t>
        </is>
      </c>
      <c r="E25" s="5" t="inlineStr">
        <is>
          <t>—</t>
        </is>
      </c>
      <c r="F25" s="4" t="n">
        <v>30</v>
      </c>
      <c r="G25" s="4" t="n">
        <v>0</v>
      </c>
      <c r="H25" s="4">
        <f>F25+G25</f>
        <v/>
      </c>
      <c r="I25" s="7">
        <f>H25/$H$93</f>
        <v/>
      </c>
      <c r="J25" s="5" t="inlineStr">
        <is>
          <t>Curriculum PDFs follow the vit.ac.in/wp-content/uploads/ series; same filename pattern as the verified ones.</t>
        </is>
      </c>
    </row>
    <row r="26">
      <c r="A26" s="4" t="n">
        <v>22</v>
      </c>
      <c r="B26" s="5" t="inlineStr">
        <is>
          <t>BCA Curriculum 2024-25</t>
        </is>
      </c>
      <c r="C26" s="5" t="inlineStr">
        <is>
          <t>Curriculum &amp; syllabus</t>
        </is>
      </c>
      <c r="D26" s="6" t="inlineStr">
        <is>
          <t>Public site, URL not recorded</t>
        </is>
      </c>
      <c r="E26" s="5" t="inlineStr">
        <is>
          <t>—</t>
        </is>
      </c>
      <c r="F26" s="4" t="n">
        <v>29</v>
      </c>
      <c r="G26" s="4" t="n">
        <v>0</v>
      </c>
      <c r="H26" s="4">
        <f>F26+G26</f>
        <v/>
      </c>
      <c r="I26" s="7">
        <f>H26/$H$93</f>
        <v/>
      </c>
      <c r="J26" s="5" t="inlineStr">
        <is>
          <t>Curriculum PDFs follow the vit.ac.in/wp-content/uploads/ series; same filename pattern as the verified ones.</t>
        </is>
      </c>
    </row>
    <row r="27">
      <c r="A27" s="4" t="n">
        <v>23</v>
      </c>
      <c r="B27" s="5" t="inlineStr">
        <is>
          <t>M.Tech Computer Applications (ACE) Curriculum 2025</t>
        </is>
      </c>
      <c r="C27" s="5" t="inlineStr">
        <is>
          <t>Curriculum &amp; syllabus</t>
        </is>
      </c>
      <c r="D27" s="6" t="inlineStr">
        <is>
          <t>Public site, URL not recorded</t>
        </is>
      </c>
      <c r="E27" s="5" t="inlineStr">
        <is>
          <t>—</t>
        </is>
      </c>
      <c r="F27" s="4" t="n">
        <v>28</v>
      </c>
      <c r="G27" s="4" t="n">
        <v>0</v>
      </c>
      <c r="H27" s="4">
        <f>F27+G27</f>
        <v/>
      </c>
      <c r="I27" s="7">
        <f>H27/$H$93</f>
        <v/>
      </c>
      <c r="J27" s="5" t="inlineStr">
        <is>
          <t>Curriculum PDFs follow the vit.ac.in/wp-content/uploads/ series; same filename pattern as the verified ones.</t>
        </is>
      </c>
    </row>
    <row r="28">
      <c r="A28" s="4" t="n">
        <v>24</v>
      </c>
      <c r="B28" s="5" t="inlineStr">
        <is>
          <t>B.Tech Electronics &amp; Instrumentation Engineering Curriculum 2025-26</t>
        </is>
      </c>
      <c r="C28" s="5" t="inlineStr">
        <is>
          <t>Curriculum &amp; syllabus</t>
        </is>
      </c>
      <c r="D28" s="6" t="inlineStr">
        <is>
          <t>Public site, URL not recorded</t>
        </is>
      </c>
      <c r="E28" s="5" t="inlineStr">
        <is>
          <t>—</t>
        </is>
      </c>
      <c r="F28" s="4" t="n">
        <v>28</v>
      </c>
      <c r="G28" s="4" t="n">
        <v>0</v>
      </c>
      <c r="H28" s="4">
        <f>F28+G28</f>
        <v/>
      </c>
      <c r="I28" s="7">
        <f>H28/$H$93</f>
        <v/>
      </c>
      <c r="J28" s="5" t="inlineStr">
        <is>
          <t>Curriculum PDFs follow the vit.ac.in/wp-content/uploads/ series; same filename pattern as the verified ones.</t>
        </is>
      </c>
    </row>
    <row r="29">
      <c r="A29" s="4" t="n">
        <v>25</v>
      </c>
      <c r="B29" s="5" t="inlineStr">
        <is>
          <t>B.Tech CSE (Bioinformatics) Curriculum 2024-25</t>
        </is>
      </c>
      <c r="C29" s="5" t="inlineStr">
        <is>
          <t>Curriculum &amp; syllabus</t>
        </is>
      </c>
      <c r="D29" s="9" t="inlineStr">
        <is>
          <t>Verified public</t>
        </is>
      </c>
      <c r="E29" s="10" t="inlineStr">
        <is>
          <t>https://vit.ac.in/wp-content/uploads/2025/08/B.Tech-CSE-Bio-Informatics-AY-2024-2025-Curriculam.pdf</t>
        </is>
      </c>
      <c r="F29" s="4" t="n">
        <v>27</v>
      </c>
      <c r="G29" s="4" t="n">
        <v>0</v>
      </c>
      <c r="H29" s="4">
        <f>F29+G29</f>
        <v/>
      </c>
      <c r="I29" s="7">
        <f>H29/$H$93</f>
        <v/>
      </c>
      <c r="J29" s="5" t="inlineStr"/>
    </row>
    <row r="30">
      <c r="A30" s="4" t="n">
        <v>26</v>
      </c>
      <c r="B30" s="5" t="inlineStr">
        <is>
          <t>BMA Programme Curriculum 2024-25</t>
        </is>
      </c>
      <c r="C30" s="5" t="inlineStr">
        <is>
          <t>Curriculum &amp; syllabus</t>
        </is>
      </c>
      <c r="D30" s="6" t="inlineStr">
        <is>
          <t>Public site, URL not recorded</t>
        </is>
      </c>
      <c r="E30" s="5" t="inlineStr">
        <is>
          <t>—</t>
        </is>
      </c>
      <c r="F30" s="4" t="n">
        <v>26</v>
      </c>
      <c r="G30" s="4" t="n">
        <v>0</v>
      </c>
      <c r="H30" s="4">
        <f>F30+G30</f>
        <v/>
      </c>
      <c r="I30" s="7">
        <f>H30/$H$93</f>
        <v/>
      </c>
      <c r="J30" s="5" t="inlineStr">
        <is>
          <t>Curriculum PDFs follow the vit.ac.in/wp-content/uploads/ series; same filename pattern as the verified ones.</t>
        </is>
      </c>
    </row>
    <row r="31">
      <c r="A31" s="4" t="n">
        <v>27</v>
      </c>
      <c r="B31" s="5" t="inlineStr">
        <is>
          <t>M.Tech Artificial Intelligence (MAI) Curriculum 2026-27</t>
        </is>
      </c>
      <c r="C31" s="5" t="inlineStr">
        <is>
          <t>Curriculum &amp; syllabus</t>
        </is>
      </c>
      <c r="D31" s="6" t="inlineStr">
        <is>
          <t>Public site, URL not recorded</t>
        </is>
      </c>
      <c r="E31" s="5" t="inlineStr">
        <is>
          <t>—</t>
        </is>
      </c>
      <c r="F31" s="4" t="n">
        <v>24</v>
      </c>
      <c r="G31" s="4" t="n">
        <v>0</v>
      </c>
      <c r="H31" s="4">
        <f>F31+G31</f>
        <v/>
      </c>
      <c r="I31" s="7">
        <f>H31/$H$93</f>
        <v/>
      </c>
      <c r="J31" s="5" t="inlineStr">
        <is>
          <t>Curriculum PDFs follow the vit.ac.in/wp-content/uploads/ series; same filename pattern as the verified ones.</t>
        </is>
      </c>
    </row>
    <row r="32">
      <c r="A32" s="4" t="n">
        <v>28</v>
      </c>
      <c r="B32" s="5" t="inlineStr">
        <is>
          <t>M.Arch Curriculum &amp; Syllabus 2025</t>
        </is>
      </c>
      <c r="C32" s="5" t="inlineStr">
        <is>
          <t>Curriculum &amp; syllabus</t>
        </is>
      </c>
      <c r="D32" s="6" t="inlineStr">
        <is>
          <t>Public site, URL not recorded</t>
        </is>
      </c>
      <c r="E32" s="5" t="inlineStr">
        <is>
          <t>—</t>
        </is>
      </c>
      <c r="F32" s="4" t="n">
        <v>22</v>
      </c>
      <c r="G32" s="4" t="n">
        <v>0</v>
      </c>
      <c r="H32" s="4">
        <f>F32+G32</f>
        <v/>
      </c>
      <c r="I32" s="7">
        <f>H32/$H$93</f>
        <v/>
      </c>
      <c r="J32" s="5" t="inlineStr">
        <is>
          <t>Curriculum PDFs follow the vit.ac.in/wp-content/uploads/ series; same filename pattern as the verified ones.</t>
        </is>
      </c>
    </row>
    <row r="33">
      <c r="A33" s="4" t="n">
        <v>29</v>
      </c>
      <c r="B33" s="5" t="inlineStr">
        <is>
          <t>MCT Curriculum &amp; Syllabus 2025-26</t>
        </is>
      </c>
      <c r="C33" s="5" t="inlineStr">
        <is>
          <t>Curriculum &amp; syllabus</t>
        </is>
      </c>
      <c r="D33" s="6" t="inlineStr">
        <is>
          <t>Public site, URL not recorded</t>
        </is>
      </c>
      <c r="E33" s="5" t="inlineStr">
        <is>
          <t>—</t>
        </is>
      </c>
      <c r="F33" s="4" t="n">
        <v>22</v>
      </c>
      <c r="G33" s="4" t="n">
        <v>0</v>
      </c>
      <c r="H33" s="4">
        <f>F33+G33</f>
        <v/>
      </c>
      <c r="I33" s="7">
        <f>H33/$H$93</f>
        <v/>
      </c>
      <c r="J33" s="5" t="inlineStr">
        <is>
          <t>Curriculum PDFs follow the vit.ac.in/wp-content/uploads/ series; same filename pattern as the verified ones.</t>
        </is>
      </c>
    </row>
    <row r="34">
      <c r="A34" s="4" t="n">
        <v>30</v>
      </c>
      <c r="B34" s="5" t="inlineStr">
        <is>
          <t>MSW Curriculum 2026-27</t>
        </is>
      </c>
      <c r="C34" s="5" t="inlineStr">
        <is>
          <t>Curriculum &amp; syllabus</t>
        </is>
      </c>
      <c r="D34" s="6" t="inlineStr">
        <is>
          <t>Public site, URL not recorded</t>
        </is>
      </c>
      <c r="E34" s="5" t="inlineStr">
        <is>
          <t>—</t>
        </is>
      </c>
      <c r="F34" s="4" t="n">
        <v>22</v>
      </c>
      <c r="G34" s="4" t="n">
        <v>0</v>
      </c>
      <c r="H34" s="4">
        <f>F34+G34</f>
        <v/>
      </c>
      <c r="I34" s="7">
        <f>H34/$H$93</f>
        <v/>
      </c>
      <c r="J34" s="5" t="inlineStr">
        <is>
          <t>Curriculum PDFs follow the vit.ac.in/wp-content/uploads/ series; same filename pattern as the verified ones.</t>
        </is>
      </c>
    </row>
    <row r="35">
      <c r="A35" s="4" t="n">
        <v>31</v>
      </c>
      <c r="B35" s="5" t="inlineStr">
        <is>
          <t>M.Sc. Data Science Curriculum 2025-26</t>
        </is>
      </c>
      <c r="C35" s="5" t="inlineStr">
        <is>
          <t>Curriculum &amp; syllabus</t>
        </is>
      </c>
      <c r="D35" s="6" t="inlineStr">
        <is>
          <t>Public site, URL not recorded</t>
        </is>
      </c>
      <c r="E35" s="5" t="inlineStr">
        <is>
          <t>—</t>
        </is>
      </c>
      <c r="F35" s="4" t="n">
        <v>22</v>
      </c>
      <c r="G35" s="4" t="n">
        <v>0</v>
      </c>
      <c r="H35" s="4">
        <f>F35+G35</f>
        <v/>
      </c>
      <c r="I35" s="7">
        <f>H35/$H$93</f>
        <v/>
      </c>
      <c r="J35" s="5" t="inlineStr">
        <is>
          <t>Curriculum PDFs follow the vit.ac.in/wp-content/uploads/ series; same filename pattern as the verified ones.</t>
        </is>
      </c>
    </row>
    <row r="36">
      <c r="A36" s="4" t="n">
        <v>32</v>
      </c>
      <c r="B36" s="5" t="inlineStr">
        <is>
          <t>M.Tech Cyber Security Curriculum 2025-26</t>
        </is>
      </c>
      <c r="C36" s="5" t="inlineStr">
        <is>
          <t>Curriculum &amp; syllabus</t>
        </is>
      </c>
      <c r="D36" s="6" t="inlineStr">
        <is>
          <t>Public site, URL not recorded</t>
        </is>
      </c>
      <c r="E36" s="5" t="inlineStr">
        <is>
          <t>—</t>
        </is>
      </c>
      <c r="F36" s="4" t="n">
        <v>22</v>
      </c>
      <c r="G36" s="4" t="n">
        <v>0</v>
      </c>
      <c r="H36" s="4">
        <f>F36+G36</f>
        <v/>
      </c>
      <c r="I36" s="7">
        <f>H36/$H$93</f>
        <v/>
      </c>
      <c r="J36" s="5" t="inlineStr">
        <is>
          <t>Curriculum PDFs follow the vit.ac.in/wp-content/uploads/ series; same filename pattern as the verified ones.</t>
        </is>
      </c>
    </row>
    <row r="37">
      <c r="A37" s="4" t="n">
        <v>33</v>
      </c>
      <c r="B37" s="5" t="inlineStr">
        <is>
          <t>Integrated M.Sc. Physics (IMSP) Curriculum 2021-22</t>
        </is>
      </c>
      <c r="C37" s="5" t="inlineStr">
        <is>
          <t>Curriculum &amp; syllabus</t>
        </is>
      </c>
      <c r="D37" s="6" t="inlineStr">
        <is>
          <t>Public site, URL not recorded</t>
        </is>
      </c>
      <c r="E37" s="5" t="inlineStr">
        <is>
          <t>—</t>
        </is>
      </c>
      <c r="F37" s="4" t="n">
        <v>21</v>
      </c>
      <c r="G37" s="4" t="n">
        <v>0</v>
      </c>
      <c r="H37" s="4">
        <f>F37+G37</f>
        <v/>
      </c>
      <c r="I37" s="7">
        <f>H37/$H$93</f>
        <v/>
      </c>
      <c r="J37" s="5" t="inlineStr">
        <is>
          <t>Curriculum PDFs follow the vit.ac.in/wp-content/uploads/ series; same filename pattern as the verified ones.</t>
        </is>
      </c>
    </row>
    <row r="38">
      <c r="A38" s="4" t="n">
        <v>34</v>
      </c>
      <c r="B38" s="5" t="inlineStr">
        <is>
          <t>ECS Programme Curriculum 2025-26</t>
        </is>
      </c>
      <c r="C38" s="5" t="inlineStr">
        <is>
          <t>Curriculum &amp; syllabus</t>
        </is>
      </c>
      <c r="D38" s="6" t="inlineStr">
        <is>
          <t>Public site, URL not recorded</t>
        </is>
      </c>
      <c r="E38" s="5" t="inlineStr">
        <is>
          <t>—</t>
        </is>
      </c>
      <c r="F38" s="4" t="n">
        <v>21</v>
      </c>
      <c r="G38" s="4" t="n">
        <v>0</v>
      </c>
      <c r="H38" s="4">
        <f>F38+G38</f>
        <v/>
      </c>
      <c r="I38" s="7">
        <f>H38/$H$93</f>
        <v/>
      </c>
      <c r="J38" s="5" t="inlineStr">
        <is>
          <t>Curriculum PDFs follow the vit.ac.in/wp-content/uploads/ series; same filename pattern as the verified ones.</t>
        </is>
      </c>
    </row>
    <row r="39">
      <c r="A39" s="4" t="n">
        <v>35</v>
      </c>
      <c r="B39" s="5" t="inlineStr">
        <is>
          <t>MFI Curriculum 2022-23</t>
        </is>
      </c>
      <c r="C39" s="5" t="inlineStr">
        <is>
          <t>Curriculum &amp; syllabus</t>
        </is>
      </c>
      <c r="D39" s="6" t="inlineStr">
        <is>
          <t>Public site, URL not recorded</t>
        </is>
      </c>
      <c r="E39" s="5" t="inlineStr">
        <is>
          <t>—</t>
        </is>
      </c>
      <c r="F39" s="4" t="n">
        <v>21</v>
      </c>
      <c r="G39" s="4" t="n">
        <v>0</v>
      </c>
      <c r="H39" s="4">
        <f>F39+G39</f>
        <v/>
      </c>
      <c r="I39" s="7">
        <f>H39/$H$93</f>
        <v/>
      </c>
      <c r="J39" s="5" t="inlineStr">
        <is>
          <t>Curriculum PDFs follow the vit.ac.in/wp-content/uploads/ series; same filename pattern as the verified ones.</t>
        </is>
      </c>
    </row>
    <row r="40">
      <c r="A40" s="4" t="n">
        <v>36</v>
      </c>
      <c r="B40" s="5" t="inlineStr">
        <is>
          <t>Integrated M.Sc. Biotechnology Curriculum 2022-23</t>
        </is>
      </c>
      <c r="C40" s="5" t="inlineStr">
        <is>
          <t>Curriculum &amp; syllabus</t>
        </is>
      </c>
      <c r="D40" s="6" t="inlineStr">
        <is>
          <t>Public site, URL not recorded</t>
        </is>
      </c>
      <c r="E40" s="5" t="inlineStr">
        <is>
          <t>—</t>
        </is>
      </c>
      <c r="F40" s="4" t="n">
        <v>20</v>
      </c>
      <c r="G40" s="4" t="n">
        <v>0</v>
      </c>
      <c r="H40" s="4">
        <f>F40+G40</f>
        <v/>
      </c>
      <c r="I40" s="7">
        <f>H40/$H$93</f>
        <v/>
      </c>
      <c r="J40" s="5" t="inlineStr">
        <is>
          <t>Curriculum PDFs follow the vit.ac.in/wp-content/uploads/ series; same filename pattern as the verified ones.</t>
        </is>
      </c>
    </row>
    <row r="41">
      <c r="A41" s="4" t="n">
        <v>37</v>
      </c>
      <c r="B41" s="5" t="inlineStr">
        <is>
          <t>MMF Programme Curriculum 2024-25</t>
        </is>
      </c>
      <c r="C41" s="5" t="inlineStr">
        <is>
          <t>Curriculum &amp; syllabus</t>
        </is>
      </c>
      <c r="D41" s="6" t="inlineStr">
        <is>
          <t>Public site, URL not recorded</t>
        </is>
      </c>
      <c r="E41" s="5" t="inlineStr">
        <is>
          <t>—</t>
        </is>
      </c>
      <c r="F41" s="4" t="n">
        <v>19</v>
      </c>
      <c r="G41" s="4" t="n">
        <v>0</v>
      </c>
      <c r="H41" s="4">
        <f>F41+G41</f>
        <v/>
      </c>
      <c r="I41" s="7">
        <f>H41/$H$93</f>
        <v/>
      </c>
      <c r="J41" s="5" t="inlineStr">
        <is>
          <t>Curriculum PDFs follow the vit.ac.in/wp-content/uploads/ series; same filename pattern as the verified ones.</t>
        </is>
      </c>
    </row>
    <row r="42">
      <c r="A42" s="4" t="n">
        <v>38</v>
      </c>
      <c r="B42" s="5" t="inlineStr">
        <is>
          <t>B.Tech Civil Engineering Curriculum 2024-25</t>
        </is>
      </c>
      <c r="C42" s="5" t="inlineStr">
        <is>
          <t>Curriculum &amp; syllabus</t>
        </is>
      </c>
      <c r="D42" s="6" t="inlineStr">
        <is>
          <t>Public site, URL not recorded</t>
        </is>
      </c>
      <c r="E42" s="5" t="inlineStr">
        <is>
          <t>—</t>
        </is>
      </c>
      <c r="F42" s="4" t="n">
        <v>19</v>
      </c>
      <c r="G42" s="4" t="n">
        <v>0</v>
      </c>
      <c r="H42" s="4">
        <f>F42+G42</f>
        <v/>
      </c>
      <c r="I42" s="7">
        <f>H42/$H$93</f>
        <v/>
      </c>
      <c r="J42" s="5" t="inlineStr">
        <is>
          <t>Curriculum PDFs follow the vit.ac.in/wp-content/uploads/ series; same filename pattern as the verified ones.</t>
        </is>
      </c>
    </row>
    <row r="43">
      <c r="A43" s="4" t="n">
        <v>39</v>
      </c>
      <c r="B43" s="5" t="inlineStr">
        <is>
          <t>M.Tech Mechanical (Cyber Physical Systems) Curriculum 2020-21</t>
        </is>
      </c>
      <c r="C43" s="5" t="inlineStr">
        <is>
          <t>Curriculum &amp; syllabus</t>
        </is>
      </c>
      <c r="D43" s="6" t="inlineStr">
        <is>
          <t>Public site, URL not recorded</t>
        </is>
      </c>
      <c r="E43" s="5" t="inlineStr">
        <is>
          <t>—</t>
        </is>
      </c>
      <c r="F43" s="4" t="n">
        <v>18</v>
      </c>
      <c r="G43" s="4" t="n">
        <v>0</v>
      </c>
      <c r="H43" s="4">
        <f>F43+G43</f>
        <v/>
      </c>
      <c r="I43" s="7">
        <f>H43/$H$93</f>
        <v/>
      </c>
      <c r="J43" s="5" t="inlineStr">
        <is>
          <t>Curriculum PDFs follow the vit.ac.in/wp-content/uploads/ series; same filename pattern as the verified ones.</t>
        </is>
      </c>
    </row>
    <row r="44">
      <c r="A44" s="4" t="n">
        <v>40</v>
      </c>
      <c r="B44" s="5" t="inlineStr">
        <is>
          <t>B.Sc. Computer Science Curriculum 2023-24</t>
        </is>
      </c>
      <c r="C44" s="5" t="inlineStr">
        <is>
          <t>Curriculum &amp; syllabus</t>
        </is>
      </c>
      <c r="D44" s="6" t="inlineStr">
        <is>
          <t>Public site, URL not recorded</t>
        </is>
      </c>
      <c r="E44" s="5" t="inlineStr">
        <is>
          <t>—</t>
        </is>
      </c>
      <c r="F44" s="4" t="n">
        <v>16</v>
      </c>
      <c r="G44" s="4" t="n">
        <v>0</v>
      </c>
      <c r="H44" s="4">
        <f>F44+G44</f>
        <v/>
      </c>
      <c r="I44" s="7">
        <f>H44/$H$93</f>
        <v/>
      </c>
      <c r="J44" s="5" t="inlineStr">
        <is>
          <t>Curriculum PDFs follow the vit.ac.in/wp-content/uploads/ series; same filename pattern as the verified ones.</t>
        </is>
      </c>
    </row>
    <row r="45">
      <c r="A45" s="4" t="n">
        <v>41</v>
      </c>
      <c r="B45" s="5" t="inlineStr">
        <is>
          <t>MAE Programme Curriculum 2024-25</t>
        </is>
      </c>
      <c r="C45" s="5" t="inlineStr">
        <is>
          <t>Curriculum &amp; syllabus</t>
        </is>
      </c>
      <c r="D45" s="6" t="inlineStr">
        <is>
          <t>Public site, URL not recorded</t>
        </is>
      </c>
      <c r="E45" s="5" t="inlineStr">
        <is>
          <t>—</t>
        </is>
      </c>
      <c r="F45" s="4" t="n">
        <v>16</v>
      </c>
      <c r="G45" s="4" t="n">
        <v>0</v>
      </c>
      <c r="H45" s="4">
        <f>F45+G45</f>
        <v/>
      </c>
      <c r="I45" s="7">
        <f>H45/$H$93</f>
        <v/>
      </c>
      <c r="J45" s="5" t="inlineStr">
        <is>
          <t>Curriculum PDFs follow the vit.ac.in/wp-content/uploads/ series; same filename pattern as the verified ones.</t>
        </is>
      </c>
    </row>
    <row r="46">
      <c r="A46" s="4" t="n">
        <v>42</v>
      </c>
      <c r="B46" s="5" t="inlineStr">
        <is>
          <t>Integrated M.Sc. Chemistry Curriculum 2021-22</t>
        </is>
      </c>
      <c r="C46" s="5" t="inlineStr">
        <is>
          <t>Curriculum &amp; syllabus</t>
        </is>
      </c>
      <c r="D46" s="6" t="inlineStr">
        <is>
          <t>Public site, URL not recorded</t>
        </is>
      </c>
      <c r="E46" s="5" t="inlineStr">
        <is>
          <t>—</t>
        </is>
      </c>
      <c r="F46" s="4" t="n">
        <v>16</v>
      </c>
      <c r="G46" s="4" t="n">
        <v>0</v>
      </c>
      <c r="H46" s="4">
        <f>F46+G46</f>
        <v/>
      </c>
      <c r="I46" s="7">
        <f>H46/$H$93</f>
        <v/>
      </c>
      <c r="J46" s="5" t="inlineStr">
        <is>
          <t>Curriculum PDFs follow the vit.ac.in/wp-content/uploads/ series; same filename pattern as the verified ones.</t>
        </is>
      </c>
    </row>
    <row r="47">
      <c r="A47" s="4" t="n">
        <v>43</v>
      </c>
      <c r="B47" s="5" t="inlineStr">
        <is>
          <t>M.Tech Software Engineering Curriculum 2023-24</t>
        </is>
      </c>
      <c r="C47" s="5" t="inlineStr">
        <is>
          <t>Curriculum &amp; syllabus</t>
        </is>
      </c>
      <c r="D47" s="6" t="inlineStr">
        <is>
          <t>Public site, URL not recorded</t>
        </is>
      </c>
      <c r="E47" s="5" t="inlineStr">
        <is>
          <t>—</t>
        </is>
      </c>
      <c r="F47" s="4" t="n">
        <v>15</v>
      </c>
      <c r="G47" s="4" t="n">
        <v>0</v>
      </c>
      <c r="H47" s="4">
        <f>F47+G47</f>
        <v/>
      </c>
      <c r="I47" s="7">
        <f>H47/$H$93</f>
        <v/>
      </c>
      <c r="J47" s="5" t="inlineStr">
        <is>
          <t>Curriculum PDFs follow the vit.ac.in/wp-content/uploads/ series; same filename pattern as the verified ones.</t>
        </is>
      </c>
    </row>
    <row r="48">
      <c r="A48" s="4" t="n">
        <v>44</v>
      </c>
      <c r="B48" s="5" t="inlineStr">
        <is>
          <t>M.Tech Automotive Electronics (MEA) Curriculum 2025-26</t>
        </is>
      </c>
      <c r="C48" s="5" t="inlineStr">
        <is>
          <t>Curriculum &amp; syllabus</t>
        </is>
      </c>
      <c r="D48" s="6" t="inlineStr">
        <is>
          <t>Public site, URL not recorded</t>
        </is>
      </c>
      <c r="E48" s="5" t="inlineStr">
        <is>
          <t>—</t>
        </is>
      </c>
      <c r="F48" s="4" t="n">
        <v>14</v>
      </c>
      <c r="G48" s="4" t="n">
        <v>0</v>
      </c>
      <c r="H48" s="4">
        <f>F48+G48</f>
        <v/>
      </c>
      <c r="I48" s="7">
        <f>H48/$H$93</f>
        <v/>
      </c>
      <c r="J48" s="5" t="inlineStr">
        <is>
          <t>Curriculum PDFs follow the vit.ac.in/wp-content/uploads/ series; same filename pattern as the verified ones.</t>
        </is>
      </c>
    </row>
    <row r="49">
      <c r="A49" s="4" t="n">
        <v>45</v>
      </c>
      <c r="B49" s="5" t="inlineStr">
        <is>
          <t>B.Tech Cyber Security Curriculum 2024-25</t>
        </is>
      </c>
      <c r="C49" s="5" t="inlineStr">
        <is>
          <t>Curriculum &amp; syllabus</t>
        </is>
      </c>
      <c r="D49" s="9" t="inlineStr">
        <is>
          <t>Verified public</t>
        </is>
      </c>
      <c r="E49" s="10" t="inlineStr">
        <is>
          <t>https://vit.ac.in/wp-content/uploads/2024/09/B.Tech-Cyber-Security-Curriuclum-2024-2025.pdf</t>
        </is>
      </c>
      <c r="F49" s="4" t="n">
        <v>14</v>
      </c>
      <c r="G49" s="4" t="n">
        <v>0</v>
      </c>
      <c r="H49" s="4">
        <f>F49+G49</f>
        <v/>
      </c>
      <c r="I49" s="7">
        <f>H49/$H$93</f>
        <v/>
      </c>
      <c r="J49" s="5" t="inlineStr"/>
    </row>
    <row r="50">
      <c r="A50" s="4" t="n">
        <v>46</v>
      </c>
      <c r="B50" s="5" t="inlineStr">
        <is>
          <t>M.Sc. AI &amp; Machine Learning Curriculum 2025-26</t>
        </is>
      </c>
      <c r="C50" s="5" t="inlineStr">
        <is>
          <t>Curriculum &amp; syllabus</t>
        </is>
      </c>
      <c r="D50" s="6" t="inlineStr">
        <is>
          <t>Public site, URL not recorded</t>
        </is>
      </c>
      <c r="E50" s="5" t="inlineStr">
        <is>
          <t>—</t>
        </is>
      </c>
      <c r="F50" s="4" t="n">
        <v>13</v>
      </c>
      <c r="G50" s="4" t="n">
        <v>0</v>
      </c>
      <c r="H50" s="4">
        <f>F50+G50</f>
        <v/>
      </c>
      <c r="I50" s="7">
        <f>H50/$H$93</f>
        <v/>
      </c>
      <c r="J50" s="5" t="inlineStr">
        <is>
          <t>Curriculum PDFs follow the vit.ac.in/wp-content/uploads/ series; same filename pattern as the verified ones.</t>
        </is>
      </c>
    </row>
    <row r="51">
      <c r="A51" s="4" t="n">
        <v>47</v>
      </c>
      <c r="B51" s="5" t="inlineStr">
        <is>
          <t>B.Tech Mechanical Engineering Curriculum 2025-26</t>
        </is>
      </c>
      <c r="C51" s="5" t="inlineStr">
        <is>
          <t>Curriculum &amp; syllabus</t>
        </is>
      </c>
      <c r="D51" s="6" t="inlineStr">
        <is>
          <t>Public site, URL not recorded</t>
        </is>
      </c>
      <c r="E51" s="5" t="inlineStr">
        <is>
          <t>—</t>
        </is>
      </c>
      <c r="F51" s="4" t="n">
        <v>12</v>
      </c>
      <c r="G51" s="4" t="n">
        <v>0</v>
      </c>
      <c r="H51" s="4">
        <f>F51+G51</f>
        <v/>
      </c>
      <c r="I51" s="7">
        <f>H51/$H$93</f>
        <v/>
      </c>
      <c r="J51" s="5" t="inlineStr">
        <is>
          <t>Curriculum PDFs follow the vit.ac.in/wp-content/uploads/ series; same filename pattern as the verified ones.</t>
        </is>
      </c>
    </row>
    <row r="52">
      <c r="A52" s="4" t="n">
        <v>48</v>
      </c>
      <c r="B52" s="5" t="inlineStr">
        <is>
          <t>M.Tech (General) Curriculum &amp; Syllabus</t>
        </is>
      </c>
      <c r="C52" s="5" t="inlineStr">
        <is>
          <t>Curriculum &amp; syllabus</t>
        </is>
      </c>
      <c r="D52" s="6" t="inlineStr">
        <is>
          <t>Public site, URL not recorded</t>
        </is>
      </c>
      <c r="E52" s="5" t="inlineStr">
        <is>
          <t>—</t>
        </is>
      </c>
      <c r="F52" s="4" t="n">
        <v>11</v>
      </c>
      <c r="G52" s="4" t="n">
        <v>0</v>
      </c>
      <c r="H52" s="4">
        <f>F52+G52</f>
        <v/>
      </c>
      <c r="I52" s="7">
        <f>H52/$H$93</f>
        <v/>
      </c>
      <c r="J52" s="5" t="inlineStr">
        <is>
          <t>Curriculum PDFs follow the vit.ac.in/wp-content/uploads/ series; same filename pattern as the verified ones.</t>
        </is>
      </c>
    </row>
    <row r="53">
      <c r="A53" s="4" t="n">
        <v>49</v>
      </c>
      <c r="B53" s="5" t="inlineStr">
        <is>
          <t>M.Tech Smart Manufacturing Curriculum 2025-26</t>
        </is>
      </c>
      <c r="C53" s="5" t="inlineStr">
        <is>
          <t>Curriculum &amp; syllabus</t>
        </is>
      </c>
      <c r="D53" s="6" t="inlineStr">
        <is>
          <t>Public site, URL not recorded</t>
        </is>
      </c>
      <c r="E53" s="5" t="inlineStr">
        <is>
          <t>—</t>
        </is>
      </c>
      <c r="F53" s="4" t="n">
        <v>11</v>
      </c>
      <c r="G53" s="4" t="n">
        <v>0</v>
      </c>
      <c r="H53" s="4">
        <f>F53+G53</f>
        <v/>
      </c>
      <c r="I53" s="7">
        <f>H53/$H$93</f>
        <v/>
      </c>
      <c r="J53" s="5" t="inlineStr">
        <is>
          <t>Curriculum PDFs follow the vit.ac.in/wp-content/uploads/ series; same filename pattern as the verified ones.</t>
        </is>
      </c>
    </row>
    <row r="54">
      <c r="A54" s="4" t="n">
        <v>50</v>
      </c>
      <c r="B54" s="5" t="inlineStr">
        <is>
          <t>M.Sc. Business Statistics Curriculum 2025-26</t>
        </is>
      </c>
      <c r="C54" s="5" t="inlineStr">
        <is>
          <t>Curriculum &amp; syllabus</t>
        </is>
      </c>
      <c r="D54" s="6" t="inlineStr">
        <is>
          <t>Public site, URL not recorded</t>
        </is>
      </c>
      <c r="E54" s="5" t="inlineStr">
        <is>
          <t>—</t>
        </is>
      </c>
      <c r="F54" s="4" t="n">
        <v>11</v>
      </c>
      <c r="G54" s="4" t="n">
        <v>0</v>
      </c>
      <c r="H54" s="4">
        <f>F54+G54</f>
        <v/>
      </c>
      <c r="I54" s="7">
        <f>H54/$H$93</f>
        <v/>
      </c>
      <c r="J54" s="5" t="inlineStr">
        <is>
          <t>Curriculum PDFs follow the vit.ac.in/wp-content/uploads/ series; same filename pattern as the verified ones.</t>
        </is>
      </c>
    </row>
    <row r="55">
      <c r="A55" s="4" t="n">
        <v>51</v>
      </c>
      <c r="B55" s="5" t="inlineStr">
        <is>
          <t>M.Sc. Integrated Biotechnology (MBT) Curriculum 2025</t>
        </is>
      </c>
      <c r="C55" s="5" t="inlineStr">
        <is>
          <t>Curriculum &amp; syllabus</t>
        </is>
      </c>
      <c r="D55" s="6" t="inlineStr">
        <is>
          <t>Public site, URL not recorded</t>
        </is>
      </c>
      <c r="E55" s="5" t="inlineStr">
        <is>
          <t>—</t>
        </is>
      </c>
      <c r="F55" s="4" t="n">
        <v>10</v>
      </c>
      <c r="G55" s="4" t="n">
        <v>0</v>
      </c>
      <c r="H55" s="4">
        <f>F55+G55</f>
        <v/>
      </c>
      <c r="I55" s="7">
        <f>H55/$H$93</f>
        <v/>
      </c>
      <c r="J55" s="5" t="inlineStr">
        <is>
          <t>Curriculum PDFs follow the vit.ac.in/wp-content/uploads/ series; same filename pattern as the verified ones.</t>
        </is>
      </c>
    </row>
    <row r="56">
      <c r="A56" s="4" t="n">
        <v>52</v>
      </c>
      <c r="B56" s="5" t="inlineStr">
        <is>
          <t>M.Tech CSE (Big Data Analytics) Curriculum 2024-25</t>
        </is>
      </c>
      <c r="C56" s="5" t="inlineStr">
        <is>
          <t>Curriculum &amp; syllabus</t>
        </is>
      </c>
      <c r="D56" s="6" t="inlineStr">
        <is>
          <t>Public site, URL not recorded</t>
        </is>
      </c>
      <c r="E56" s="5" t="inlineStr">
        <is>
          <t>—</t>
        </is>
      </c>
      <c r="F56" s="4" t="n">
        <v>10</v>
      </c>
      <c r="G56" s="4" t="n">
        <v>0</v>
      </c>
      <c r="H56" s="4">
        <f>F56+G56</f>
        <v/>
      </c>
      <c r="I56" s="7">
        <f>H56/$H$93</f>
        <v/>
      </c>
      <c r="J56" s="5" t="inlineStr">
        <is>
          <t>Curriculum PDFs follow the vit.ac.in/wp-content/uploads/ series; same filename pattern as the verified ones.</t>
        </is>
      </c>
    </row>
    <row r="57">
      <c r="A57" s="4" t="n">
        <v>53</v>
      </c>
      <c r="B57" s="5" t="inlineStr">
        <is>
          <t>Research Guide (School CNR) July 2026</t>
        </is>
      </c>
      <c r="C57" s="5" t="inlineStr">
        <is>
          <t>Research guide (Ph.D.)</t>
        </is>
      </c>
      <c r="D57" s="6" t="inlineStr">
        <is>
          <t>Public site, URL not recorded</t>
        </is>
      </c>
      <c r="E57" s="10" t="inlineStr">
        <is>
          <t>https://vit.ac.in/research-guide-directory-2026</t>
        </is>
      </c>
      <c r="F57" s="4" t="n">
        <v>10</v>
      </c>
      <c r="G57" s="4" t="n">
        <v>0</v>
      </c>
      <c r="H57" s="4">
        <f>F57+G57</f>
        <v/>
      </c>
      <c r="I57" s="7">
        <f>H57/$H$93</f>
        <v/>
      </c>
      <c r="J57" s="5" t="inlineStr">
        <is>
          <t>Research Guide Directory 2026 is a public vit.ac.in page; this specific file was not individually confirmed.</t>
        </is>
      </c>
    </row>
    <row r="58">
      <c r="A58" s="4" t="n">
        <v>54</v>
      </c>
      <c r="B58" s="5" t="inlineStr">
        <is>
          <t>M.Sc. Physics Curriculum 2025-26</t>
        </is>
      </c>
      <c r="C58" s="5" t="inlineStr">
        <is>
          <t>Curriculum &amp; syllabus</t>
        </is>
      </c>
      <c r="D58" s="6" t="inlineStr">
        <is>
          <t>Public site, URL not recorded</t>
        </is>
      </c>
      <c r="E58" s="5" t="inlineStr">
        <is>
          <t>—</t>
        </is>
      </c>
      <c r="F58" s="4" t="n">
        <v>10</v>
      </c>
      <c r="G58" s="4" t="n">
        <v>0</v>
      </c>
      <c r="H58" s="4">
        <f>F58+G58</f>
        <v/>
      </c>
      <c r="I58" s="7">
        <f>H58/$H$93</f>
        <v/>
      </c>
      <c r="J58" s="5" t="inlineStr">
        <is>
          <t>Curriculum PDFs follow the vit.ac.in/wp-content/uploads/ series; same filename pattern as the verified ones.</t>
        </is>
      </c>
    </row>
    <row r="59">
      <c r="A59" s="4" t="n">
        <v>55</v>
      </c>
      <c r="B59" s="5" t="inlineStr">
        <is>
          <t>Research Guide (Chemistry, SAS) July 2026</t>
        </is>
      </c>
      <c r="C59" s="5" t="inlineStr">
        <is>
          <t>Research guide (Ph.D.)</t>
        </is>
      </c>
      <c r="D59" s="6" t="inlineStr">
        <is>
          <t>Public site, URL not recorded</t>
        </is>
      </c>
      <c r="E59" s="10" t="inlineStr">
        <is>
          <t>https://vit.ac.in/research-guide-directory-2026</t>
        </is>
      </c>
      <c r="F59" s="4" t="n">
        <v>9</v>
      </c>
      <c r="G59" s="4" t="n">
        <v>0</v>
      </c>
      <c r="H59" s="4">
        <f>F59+G59</f>
        <v/>
      </c>
      <c r="I59" s="7">
        <f>H59/$H$93</f>
        <v/>
      </c>
      <c r="J59" s="5" t="inlineStr">
        <is>
          <t>Research Guide Directory 2026 is a public vit.ac.in page; this specific file was not individually confirmed.</t>
        </is>
      </c>
    </row>
    <row r="60">
      <c r="A60" s="4" t="n">
        <v>56</v>
      </c>
      <c r="B60" s="5" t="inlineStr">
        <is>
          <t>M.Tech Microelectronics &amp; VLSI Design Curriculum 2026-27</t>
        </is>
      </c>
      <c r="C60" s="5" t="inlineStr">
        <is>
          <t>Curriculum &amp; syllabus</t>
        </is>
      </c>
      <c r="D60" s="6" t="inlineStr">
        <is>
          <t>Public site, URL not recorded</t>
        </is>
      </c>
      <c r="E60" s="5" t="inlineStr">
        <is>
          <t>—</t>
        </is>
      </c>
      <c r="F60" s="4" t="n">
        <v>9</v>
      </c>
      <c r="G60" s="4" t="n">
        <v>0</v>
      </c>
      <c r="H60" s="4">
        <f>F60+G60</f>
        <v/>
      </c>
      <c r="I60" s="7">
        <f>H60/$H$93</f>
        <v/>
      </c>
      <c r="J60" s="5" t="inlineStr">
        <is>
          <t>Curriculum PDFs follow the vit.ac.in/wp-content/uploads/ series; same filename pattern as the verified ones.</t>
        </is>
      </c>
    </row>
    <row r="61">
      <c r="A61" s="4" t="n">
        <v>57</v>
      </c>
      <c r="B61" s="5" t="inlineStr">
        <is>
          <t>Research Guide (SCORE) July 2026</t>
        </is>
      </c>
      <c r="C61" s="5" t="inlineStr">
        <is>
          <t>Research guide (Ph.D.)</t>
        </is>
      </c>
      <c r="D61" s="6" t="inlineStr">
        <is>
          <t>Public site, URL not recorded</t>
        </is>
      </c>
      <c r="E61" s="10" t="inlineStr">
        <is>
          <t>https://vit.ac.in/research-guide-directory-2026</t>
        </is>
      </c>
      <c r="F61" s="4" t="n">
        <v>8</v>
      </c>
      <c r="G61" s="4" t="n">
        <v>0</v>
      </c>
      <c r="H61" s="4">
        <f>F61+G61</f>
        <v/>
      </c>
      <c r="I61" s="7">
        <f>H61/$H$93</f>
        <v/>
      </c>
      <c r="J61" s="5" t="inlineStr">
        <is>
          <t>Research Guide Directory 2026 is a public vit.ac.in page; this specific file was not individually confirmed.</t>
        </is>
      </c>
    </row>
    <row r="62">
      <c r="A62" s="4" t="n">
        <v>58</v>
      </c>
      <c r="B62" s="5" t="inlineStr">
        <is>
          <t>Research Guide (Physics, SAS) July 2026</t>
        </is>
      </c>
      <c r="C62" s="5" t="inlineStr">
        <is>
          <t>Research guide (Ph.D.)</t>
        </is>
      </c>
      <c r="D62" s="6" t="inlineStr">
        <is>
          <t>Public site, URL not recorded</t>
        </is>
      </c>
      <c r="E62" s="10" t="inlineStr">
        <is>
          <t>https://vit.ac.in/research-guide-directory-2026</t>
        </is>
      </c>
      <c r="F62" s="4" t="n">
        <v>8</v>
      </c>
      <c r="G62" s="4" t="n">
        <v>0</v>
      </c>
      <c r="H62" s="4">
        <f>F62+G62</f>
        <v/>
      </c>
      <c r="I62" s="7">
        <f>H62/$H$93</f>
        <v/>
      </c>
      <c r="J62" s="5" t="inlineStr">
        <is>
          <t>Research Guide Directory 2026 is a public vit.ac.in page; this specific file was not individually confirmed.</t>
        </is>
      </c>
    </row>
    <row r="63">
      <c r="A63" s="4" t="n">
        <v>59</v>
      </c>
      <c r="B63" s="5" t="inlineStr">
        <is>
          <t>M.Tech Embedded Systems (MES) Curriculum 2025-26</t>
        </is>
      </c>
      <c r="C63" s="5" t="inlineStr">
        <is>
          <t>Curriculum &amp; syllabus</t>
        </is>
      </c>
      <c r="D63" s="6" t="inlineStr">
        <is>
          <t>Public site, URL not recorded</t>
        </is>
      </c>
      <c r="E63" s="5" t="inlineStr">
        <is>
          <t>—</t>
        </is>
      </c>
      <c r="F63" s="4" t="n">
        <v>7</v>
      </c>
      <c r="G63" s="4" t="n">
        <v>0</v>
      </c>
      <c r="H63" s="4">
        <f>F63+G63</f>
        <v/>
      </c>
      <c r="I63" s="7">
        <f>H63/$H$93</f>
        <v/>
      </c>
      <c r="J63" s="5" t="inlineStr">
        <is>
          <t>Curriculum PDFs follow the vit.ac.in/wp-content/uploads/ series; same filename pattern as the verified ones.</t>
        </is>
      </c>
    </row>
    <row r="64">
      <c r="A64" s="4" t="n">
        <v>60</v>
      </c>
      <c r="B64" s="5" t="inlineStr">
        <is>
          <t>BCI Programme Curriculum 2024-25</t>
        </is>
      </c>
      <c r="C64" s="5" t="inlineStr">
        <is>
          <t>Curriculum &amp; syllabus</t>
        </is>
      </c>
      <c r="D64" s="6" t="inlineStr">
        <is>
          <t>Public site, URL not recorded</t>
        </is>
      </c>
      <c r="E64" s="5" t="inlineStr">
        <is>
          <t>—</t>
        </is>
      </c>
      <c r="F64" s="4" t="n">
        <v>7</v>
      </c>
      <c r="G64" s="4" t="n">
        <v>0</v>
      </c>
      <c r="H64" s="4">
        <f>F64+G64</f>
        <v/>
      </c>
      <c r="I64" s="7">
        <f>H64/$H$93</f>
        <v/>
      </c>
      <c r="J64" s="5" t="inlineStr">
        <is>
          <t>Curriculum PDFs follow the vit.ac.in/wp-content/uploads/ series; same filename pattern as the verified ones.</t>
        </is>
      </c>
    </row>
    <row r="65">
      <c r="A65" s="4" t="n">
        <v>61</v>
      </c>
      <c r="B65" s="5" t="inlineStr">
        <is>
          <t>Integrated M.Sc. Mathematics Curriculum 2021-22</t>
        </is>
      </c>
      <c r="C65" s="5" t="inlineStr">
        <is>
          <t>Curriculum &amp; syllabus</t>
        </is>
      </c>
      <c r="D65" s="6" t="inlineStr">
        <is>
          <t>Public site, URL not recorded</t>
        </is>
      </c>
      <c r="E65" s="5" t="inlineStr">
        <is>
          <t>—</t>
        </is>
      </c>
      <c r="F65" s="4" t="n">
        <v>7</v>
      </c>
      <c r="G65" s="4" t="n">
        <v>0</v>
      </c>
      <c r="H65" s="4">
        <f>F65+G65</f>
        <v/>
      </c>
      <c r="I65" s="7">
        <f>H65/$H$93</f>
        <v/>
      </c>
      <c r="J65" s="5" t="inlineStr">
        <is>
          <t>Curriculum PDFs follow the vit.ac.in/wp-content/uploads/ series; same filename pattern as the verified ones.</t>
        </is>
      </c>
    </row>
    <row r="66">
      <c r="A66" s="4" t="n">
        <v>62</v>
      </c>
      <c r="B66" s="5" t="inlineStr">
        <is>
          <t>M.Sc. Biotechnology (MSB) Curriculum 2025-27</t>
        </is>
      </c>
      <c r="C66" s="5" t="inlineStr">
        <is>
          <t>Curriculum &amp; syllabus</t>
        </is>
      </c>
      <c r="D66" s="6" t="inlineStr">
        <is>
          <t>Public site, URL not recorded</t>
        </is>
      </c>
      <c r="E66" s="5" t="inlineStr">
        <is>
          <t>—</t>
        </is>
      </c>
      <c r="F66" s="4" t="n">
        <v>6</v>
      </c>
      <c r="G66" s="4" t="n">
        <v>0</v>
      </c>
      <c r="H66" s="4">
        <f>F66+G66</f>
        <v/>
      </c>
      <c r="I66" s="7">
        <f>H66/$H$93</f>
        <v/>
      </c>
      <c r="J66" s="5" t="inlineStr">
        <is>
          <t>Curriculum PDFs follow the vit.ac.in/wp-content/uploads/ series; same filename pattern as the verified ones.</t>
        </is>
      </c>
    </row>
    <row r="67">
      <c r="A67" s="4" t="n">
        <v>63</v>
      </c>
      <c r="B67" s="5" t="inlineStr">
        <is>
          <t>M.Sc. Biomedical Genetics Curriculum 2025-26</t>
        </is>
      </c>
      <c r="C67" s="5" t="inlineStr">
        <is>
          <t>Curriculum &amp; syllabus</t>
        </is>
      </c>
      <c r="D67" s="6" t="inlineStr">
        <is>
          <t>Public site, URL not recorded</t>
        </is>
      </c>
      <c r="E67" s="5" t="inlineStr">
        <is>
          <t>—</t>
        </is>
      </c>
      <c r="F67" s="4" t="n">
        <v>6</v>
      </c>
      <c r="G67" s="4" t="n">
        <v>0</v>
      </c>
      <c r="H67" s="4">
        <f>F67+G67</f>
        <v/>
      </c>
      <c r="I67" s="7">
        <f>H67/$H$93</f>
        <v/>
      </c>
      <c r="J67" s="5" t="inlineStr">
        <is>
          <t>Curriculum PDFs follow the vit.ac.in/wp-content/uploads/ series; same filename pattern as the verified ones.</t>
        </is>
      </c>
    </row>
    <row r="68">
      <c r="A68" s="4" t="n">
        <v>64</v>
      </c>
      <c r="B68" s="5" t="inlineStr">
        <is>
          <t>VIT Men's Hostel Fee Structure - Seniors 2025-26</t>
        </is>
      </c>
      <c r="C68" s="5" t="inlineStr">
        <is>
          <t>Fee structure</t>
        </is>
      </c>
      <c r="D68" s="9" t="inlineStr">
        <is>
          <t>Verified public</t>
        </is>
      </c>
      <c r="E68" s="10" t="inlineStr">
        <is>
          <t>https://vit.ac.in/wp-content/uploads/2025/05/MH-Senior-FEE-structure-Indian-NRI-FOREIGN-Category-2025-26.pdf</t>
        </is>
      </c>
      <c r="F68" s="4" t="n">
        <v>4</v>
      </c>
      <c r="G68" s="4" t="n">
        <v>2</v>
      </c>
      <c r="H68" s="4">
        <f>F68+G68</f>
        <v/>
      </c>
      <c r="I68" s="7">
        <f>H68/$H$93</f>
        <v/>
      </c>
      <c r="J68" s="5" t="inlineStr"/>
    </row>
    <row r="69">
      <c r="A69" s="4" t="n">
        <v>65</v>
      </c>
      <c r="B69" s="5" t="inlineStr">
        <is>
          <t>VITREE Information Brochure</t>
        </is>
      </c>
      <c r="C69" s="5" t="inlineStr">
        <is>
          <t>Ph.D. admissions / fellowship</t>
        </is>
      </c>
      <c r="D69" s="9" t="inlineStr">
        <is>
          <t>Verified public (series)</t>
        </is>
      </c>
      <c r="E69" s="10" t="inlineStr">
        <is>
          <t>https://vit.ac.in/admissions/research</t>
        </is>
      </c>
      <c r="F69" s="4" t="n">
        <v>6</v>
      </c>
      <c r="G69" s="4" t="n">
        <v>0</v>
      </c>
      <c r="H69" s="4">
        <f>F69+G69</f>
        <v/>
      </c>
      <c r="I69" s="7">
        <f>H69/$H$93</f>
        <v/>
      </c>
      <c r="J69" s="5" t="inlineStr">
        <is>
          <t>VITREE brochures are public on vit.ac.in (files/prospectus/); edition of this exact file not confirmed.</t>
        </is>
      </c>
    </row>
    <row r="70">
      <c r="A70" s="4" t="n">
        <v>66</v>
      </c>
      <c r="B70" s="5" t="inlineStr">
        <is>
          <t>MST Curriculum &amp; Syllabus 2025</t>
        </is>
      </c>
      <c r="C70" s="5" t="inlineStr">
        <is>
          <t>Curriculum &amp; syllabus</t>
        </is>
      </c>
      <c r="D70" s="6" t="inlineStr">
        <is>
          <t>Public site, URL not recorded</t>
        </is>
      </c>
      <c r="E70" s="5" t="inlineStr">
        <is>
          <t>—</t>
        </is>
      </c>
      <c r="F70" s="4" t="n">
        <v>6</v>
      </c>
      <c r="G70" s="4" t="n">
        <v>0</v>
      </c>
      <c r="H70" s="4">
        <f>F70+G70</f>
        <v/>
      </c>
      <c r="I70" s="7">
        <f>H70/$H$93</f>
        <v/>
      </c>
      <c r="J70" s="5" t="inlineStr">
        <is>
          <t>Curriculum PDFs follow the vit.ac.in/wp-content/uploads/ series; same filename pattern as the verified ones.</t>
        </is>
      </c>
    </row>
    <row r="71">
      <c r="A71" s="4" t="n">
        <v>67</v>
      </c>
      <c r="B71" s="5" t="inlineStr">
        <is>
          <t>M.Tech CAD/CAM Curriculum</t>
        </is>
      </c>
      <c r="C71" s="5" t="inlineStr">
        <is>
          <t>Curriculum &amp; syllabus</t>
        </is>
      </c>
      <c r="D71" s="6" t="inlineStr">
        <is>
          <t>Public site, URL not recorded</t>
        </is>
      </c>
      <c r="E71" s="5" t="inlineStr">
        <is>
          <t>—</t>
        </is>
      </c>
      <c r="F71" s="4" t="n">
        <v>6</v>
      </c>
      <c r="G71" s="4" t="n">
        <v>0</v>
      </c>
      <c r="H71" s="4">
        <f>F71+G71</f>
        <v/>
      </c>
      <c r="I71" s="7">
        <f>H71/$H$93</f>
        <v/>
      </c>
      <c r="J71" s="5" t="inlineStr">
        <is>
          <t>Curriculum PDFs follow the vit.ac.in/wp-content/uploads/ series; same filename pattern as the verified ones.</t>
        </is>
      </c>
    </row>
    <row r="72">
      <c r="A72" s="4" t="n">
        <v>68</v>
      </c>
      <c r="B72" s="5" t="inlineStr">
        <is>
          <t>Research Guide (Mathematics, SAS) July 2026</t>
        </is>
      </c>
      <c r="C72" s="5" t="inlineStr">
        <is>
          <t>Research guide (Ph.D.)</t>
        </is>
      </c>
      <c r="D72" s="6" t="inlineStr">
        <is>
          <t>Public site, URL not recorded</t>
        </is>
      </c>
      <c r="E72" s="10" t="inlineStr">
        <is>
          <t>https://vit.ac.in/research-guide-directory-2026</t>
        </is>
      </c>
      <c r="F72" s="4" t="n">
        <v>6</v>
      </c>
      <c r="G72" s="4" t="n">
        <v>0</v>
      </c>
      <c r="H72" s="4">
        <f>F72+G72</f>
        <v/>
      </c>
      <c r="I72" s="7">
        <f>H72/$H$93</f>
        <v/>
      </c>
      <c r="J72" s="5" t="inlineStr">
        <is>
          <t>Research Guide Directory 2026 is a public vit.ac.in page; this specific file was not individually confirmed.</t>
        </is>
      </c>
    </row>
    <row r="73">
      <c r="A73" s="4" t="n">
        <v>69</v>
      </c>
      <c r="B73" s="5" t="inlineStr">
        <is>
          <t>M.Tech CSE (Information Security) Curriculum 2024-25</t>
        </is>
      </c>
      <c r="C73" s="5" t="inlineStr">
        <is>
          <t>Curriculum &amp; syllabus</t>
        </is>
      </c>
      <c r="D73" s="6" t="inlineStr">
        <is>
          <t>Public site, URL not recorded</t>
        </is>
      </c>
      <c r="E73" s="5" t="inlineStr">
        <is>
          <t>—</t>
        </is>
      </c>
      <c r="F73" s="4" t="n">
        <v>6</v>
      </c>
      <c r="G73" s="4" t="n">
        <v>0</v>
      </c>
      <c r="H73" s="4">
        <f>F73+G73</f>
        <v/>
      </c>
      <c r="I73" s="7">
        <f>H73/$H$93</f>
        <v/>
      </c>
      <c r="J73" s="5" t="inlineStr">
        <is>
          <t>Curriculum PDFs follow the vit.ac.in/wp-content/uploads/ series; same filename pattern as the verified ones.</t>
        </is>
      </c>
    </row>
    <row r="74">
      <c r="A74" s="4" t="n">
        <v>70</v>
      </c>
      <c r="B74" s="5" t="inlineStr">
        <is>
          <t>Integrated M.Sc. Computational Statistics &amp; Data Analytics Curriculum 2020-21</t>
        </is>
      </c>
      <c r="C74" s="5" t="inlineStr">
        <is>
          <t>Curriculum &amp; syllabus</t>
        </is>
      </c>
      <c r="D74" s="6" t="inlineStr">
        <is>
          <t>Public site, URL not recorded</t>
        </is>
      </c>
      <c r="E74" s="5" t="inlineStr">
        <is>
          <t>—</t>
        </is>
      </c>
      <c r="F74" s="4" t="n">
        <v>6</v>
      </c>
      <c r="G74" s="4" t="n">
        <v>0</v>
      </c>
      <c r="H74" s="4">
        <f>F74+G74</f>
        <v/>
      </c>
      <c r="I74" s="7">
        <f>H74/$H$93</f>
        <v/>
      </c>
      <c r="J74" s="5" t="inlineStr">
        <is>
          <t>Curriculum PDFs follow the vit.ac.in/wp-content/uploads/ series; same filename pattern as the verified ones.</t>
        </is>
      </c>
    </row>
    <row r="75">
      <c r="A75" s="4" t="n">
        <v>71</v>
      </c>
      <c r="B75" s="5" t="inlineStr">
        <is>
          <t>M.Tech Mechatronics Curriculum</t>
        </is>
      </c>
      <c r="C75" s="5" t="inlineStr">
        <is>
          <t>Curriculum &amp; syllabus</t>
        </is>
      </c>
      <c r="D75" s="6" t="inlineStr">
        <is>
          <t>Public site, URL not recorded</t>
        </is>
      </c>
      <c r="E75" s="5" t="inlineStr">
        <is>
          <t>—</t>
        </is>
      </c>
      <c r="F75" s="4" t="n">
        <v>5</v>
      </c>
      <c r="G75" s="4" t="n">
        <v>0</v>
      </c>
      <c r="H75" s="4">
        <f>F75+G75</f>
        <v/>
      </c>
      <c r="I75" s="7">
        <f>H75/$H$93</f>
        <v/>
      </c>
      <c r="J75" s="5" t="inlineStr">
        <is>
          <t>Curriculum PDFs follow the vit.ac.in/wp-content/uploads/ series; same filename pattern as the verified ones.</t>
        </is>
      </c>
    </row>
    <row r="76">
      <c r="A76" s="4" t="n">
        <v>72</v>
      </c>
      <c r="B76" s="5" t="inlineStr">
        <is>
          <t>Research Guide (VIT Business School) July 2026</t>
        </is>
      </c>
      <c r="C76" s="5" t="inlineStr">
        <is>
          <t>Research guide (Ph.D.)</t>
        </is>
      </c>
      <c r="D76" s="6" t="inlineStr">
        <is>
          <t>Public site, URL not recorded</t>
        </is>
      </c>
      <c r="E76" s="10" t="inlineStr">
        <is>
          <t>https://vit.ac.in/research-guide-directory-2026</t>
        </is>
      </c>
      <c r="F76" s="4" t="n">
        <v>5</v>
      </c>
      <c r="G76" s="4" t="n">
        <v>0</v>
      </c>
      <c r="H76" s="4">
        <f>F76+G76</f>
        <v/>
      </c>
      <c r="I76" s="7">
        <f>H76/$H$93</f>
        <v/>
      </c>
      <c r="J76" s="5" t="inlineStr">
        <is>
          <t>Research Guide Directory 2026 is a public vit.ac.in page; this specific file was not individually confirmed.</t>
        </is>
      </c>
    </row>
    <row r="77">
      <c r="A77" s="4" t="n">
        <v>73</v>
      </c>
      <c r="B77" s="5" t="inlineStr">
        <is>
          <t>Research Guide (SMEC - Mechanical Engg) July 2026</t>
        </is>
      </c>
      <c r="C77" s="5" t="inlineStr">
        <is>
          <t>Research guide (Ph.D.)</t>
        </is>
      </c>
      <c r="D77" s="6" t="inlineStr">
        <is>
          <t>Public site, URL not recorded</t>
        </is>
      </c>
      <c r="E77" s="10" t="inlineStr">
        <is>
          <t>https://vit.ac.in/research-guide-directory-2026</t>
        </is>
      </c>
      <c r="F77" s="4" t="n">
        <v>5</v>
      </c>
      <c r="G77" s="4" t="n">
        <v>0</v>
      </c>
      <c r="H77" s="4">
        <f>F77+G77</f>
        <v/>
      </c>
      <c r="I77" s="7">
        <f>H77/$H$93</f>
        <v/>
      </c>
      <c r="J77" s="5" t="inlineStr">
        <is>
          <t>Research Guide Directory 2026 is a public vit.ac.in page; this specific file was not individually confirmed.</t>
        </is>
      </c>
    </row>
    <row r="78">
      <c r="A78" s="4" t="n">
        <v>74</v>
      </c>
      <c r="B78" s="5" t="inlineStr">
        <is>
          <t>BMM Programme Curriculum 2024-25</t>
        </is>
      </c>
      <c r="C78" s="5" t="inlineStr">
        <is>
          <t>Curriculum &amp; syllabus</t>
        </is>
      </c>
      <c r="D78" s="6" t="inlineStr">
        <is>
          <t>Public site, URL not recorded</t>
        </is>
      </c>
      <c r="E78" s="5" t="inlineStr">
        <is>
          <t>—</t>
        </is>
      </c>
      <c r="F78" s="4" t="n">
        <v>4</v>
      </c>
      <c r="G78" s="4" t="n">
        <v>0</v>
      </c>
      <c r="H78" s="4">
        <f>F78+G78</f>
        <v/>
      </c>
      <c r="I78" s="7">
        <f>H78/$H$93</f>
        <v/>
      </c>
      <c r="J78" s="5" t="inlineStr">
        <is>
          <t>Curriculum PDFs follow the vit.ac.in/wp-content/uploads/ series; same filename pattern as the verified ones.</t>
        </is>
      </c>
    </row>
    <row r="79">
      <c r="A79" s="4" t="n">
        <v>75</v>
      </c>
      <c r="B79" s="5" t="inlineStr">
        <is>
          <t>Research Guide (SELECT School) July 2026</t>
        </is>
      </c>
      <c r="C79" s="5" t="inlineStr">
        <is>
          <t>Research guide (Ph.D.)</t>
        </is>
      </c>
      <c r="D79" s="6" t="inlineStr">
        <is>
          <t>Public site, URL not recorded</t>
        </is>
      </c>
      <c r="E79" s="10" t="inlineStr">
        <is>
          <t>https://vit.ac.in/research-guide-directory-2026</t>
        </is>
      </c>
      <c r="F79" s="4" t="n">
        <v>4</v>
      </c>
      <c r="G79" s="4" t="n">
        <v>0</v>
      </c>
      <c r="H79" s="4">
        <f>F79+G79</f>
        <v/>
      </c>
      <c r="I79" s="7">
        <f>H79/$H$93</f>
        <v/>
      </c>
      <c r="J79" s="5" t="inlineStr">
        <is>
          <t>Research Guide Directory 2026 is a public vit.ac.in page; this specific file was not individually confirmed.</t>
        </is>
      </c>
    </row>
    <row r="80">
      <c r="A80" s="4" t="n">
        <v>76</v>
      </c>
      <c r="B80" s="5" t="inlineStr">
        <is>
          <t>International Admissions Brochure - Research Programmes</t>
        </is>
      </c>
      <c r="C80" s="5" t="inlineStr">
        <is>
          <t>Admissions / research info</t>
        </is>
      </c>
      <c r="D80" s="6" t="inlineStr">
        <is>
          <t>Public site, URL not recorded</t>
        </is>
      </c>
      <c r="E80" s="5" t="inlineStr">
        <is>
          <t>—</t>
        </is>
      </c>
      <c r="F80" s="4" t="n">
        <v>4</v>
      </c>
      <c r="G80" s="4" t="n">
        <v>0</v>
      </c>
      <c r="H80" s="4">
        <f>F80+G80</f>
        <v/>
      </c>
      <c r="I80" s="7">
        <f>H80/$H$93</f>
        <v/>
      </c>
      <c r="J80" s="5" t="inlineStr"/>
    </row>
    <row r="81">
      <c r="A81" s="4" t="n">
        <v>77</v>
      </c>
      <c r="B81" s="5" t="inlineStr">
        <is>
          <t>Research Guide (SENSE - Electronics Engg) July 2026</t>
        </is>
      </c>
      <c r="C81" s="5" t="inlineStr">
        <is>
          <t>Research guide (Ph.D.)</t>
        </is>
      </c>
      <c r="D81" s="6" t="inlineStr">
        <is>
          <t>Public site, URL not recorded</t>
        </is>
      </c>
      <c r="E81" s="10" t="inlineStr">
        <is>
          <t>https://vit.ac.in/research-guide-directory-2026</t>
        </is>
      </c>
      <c r="F81" s="4" t="n">
        <v>4</v>
      </c>
      <c r="G81" s="4" t="n">
        <v>0</v>
      </c>
      <c r="H81" s="4">
        <f>F81+G81</f>
        <v/>
      </c>
      <c r="I81" s="7">
        <f>H81/$H$93</f>
        <v/>
      </c>
      <c r="J81" s="5" t="inlineStr">
        <is>
          <t>Research Guide Directory 2026 is a public vit.ac.in page; this specific file was not individually confirmed.</t>
        </is>
      </c>
    </row>
    <row r="82">
      <c r="A82" s="4" t="n">
        <v>78</v>
      </c>
      <c r="B82" s="5" t="inlineStr">
        <is>
          <t>B.Tech Biotechnology Curriculum 2024-25</t>
        </is>
      </c>
      <c r="C82" s="5" t="inlineStr">
        <is>
          <t>Curriculum &amp; syllabus</t>
        </is>
      </c>
      <c r="D82" s="6" t="inlineStr">
        <is>
          <t>Public site, URL not recorded</t>
        </is>
      </c>
      <c r="E82" s="5" t="inlineStr">
        <is>
          <t>—</t>
        </is>
      </c>
      <c r="F82" s="4" t="n">
        <v>4</v>
      </c>
      <c r="G82" s="4" t="n">
        <v>0</v>
      </c>
      <c r="H82" s="4">
        <f>F82+G82</f>
        <v/>
      </c>
      <c r="I82" s="7">
        <f>H82/$H$93</f>
        <v/>
      </c>
      <c r="J82" s="5" t="inlineStr">
        <is>
          <t>Curriculum PDFs follow the vit.ac.in/wp-content/uploads/ series; same filename pattern as the verified ones.</t>
        </is>
      </c>
    </row>
    <row r="83">
      <c r="A83" s="4" t="n">
        <v>79</v>
      </c>
      <c r="B83" s="5" t="inlineStr">
        <is>
          <t>Integrated M.Tech CSE (Data Science) Curriculum</t>
        </is>
      </c>
      <c r="C83" s="5" t="inlineStr">
        <is>
          <t>Curriculum &amp; syllabus</t>
        </is>
      </c>
      <c r="D83" s="6" t="inlineStr">
        <is>
          <t>Public site, URL not recorded</t>
        </is>
      </c>
      <c r="E83" s="5" t="inlineStr">
        <is>
          <t>—</t>
        </is>
      </c>
      <c r="F83" s="4" t="n">
        <v>4</v>
      </c>
      <c r="G83" s="4" t="n">
        <v>0</v>
      </c>
      <c r="H83" s="4">
        <f>F83+G83</f>
        <v/>
      </c>
      <c r="I83" s="7">
        <f>H83/$H$93</f>
        <v/>
      </c>
      <c r="J83" s="5" t="inlineStr">
        <is>
          <t>Curriculum PDFs follow the vit.ac.in/wp-content/uploads/ series; same filename pattern as the verified ones.</t>
        </is>
      </c>
    </row>
    <row r="84">
      <c r="A84" s="4" t="n">
        <v>80</v>
      </c>
      <c r="B84" s="5" t="inlineStr">
        <is>
          <t>Smart Manufacturing Curriculum</t>
        </is>
      </c>
      <c r="C84" s="5" t="inlineStr">
        <is>
          <t>Curriculum &amp; syllabus</t>
        </is>
      </c>
      <c r="D84" s="6" t="inlineStr">
        <is>
          <t>Public site, URL not recorded</t>
        </is>
      </c>
      <c r="E84" s="5" t="inlineStr">
        <is>
          <t>—</t>
        </is>
      </c>
      <c r="F84" s="4" t="n">
        <v>2</v>
      </c>
      <c r="G84" s="4" t="n">
        <v>0</v>
      </c>
      <c r="H84" s="4">
        <f>F84+G84</f>
        <v/>
      </c>
      <c r="I84" s="7">
        <f>H84/$H$93</f>
        <v/>
      </c>
      <c r="J84" s="5" t="inlineStr">
        <is>
          <t>Curriculum PDFs follow the vit.ac.in/wp-content/uploads/ series; same filename pattern as the verified ones.</t>
        </is>
      </c>
    </row>
    <row r="85">
      <c r="A85" s="4" t="n">
        <v>81</v>
      </c>
      <c r="B85" s="5" t="inlineStr">
        <is>
          <t>Research Guide (SSL) July 2026</t>
        </is>
      </c>
      <c r="C85" s="5" t="inlineStr">
        <is>
          <t>Research guide (Ph.D.)</t>
        </is>
      </c>
      <c r="D85" s="6" t="inlineStr">
        <is>
          <t>Public site, URL not recorded</t>
        </is>
      </c>
      <c r="E85" s="10" t="inlineStr">
        <is>
          <t>https://vit.ac.in/research-guide-directory-2026</t>
        </is>
      </c>
      <c r="F85" s="4" t="n">
        <v>2</v>
      </c>
      <c r="G85" s="4" t="n">
        <v>0</v>
      </c>
      <c r="H85" s="4">
        <f>F85+G85</f>
        <v/>
      </c>
      <c r="I85" s="7">
        <f>H85/$H$93</f>
        <v/>
      </c>
      <c r="J85" s="5" t="inlineStr">
        <is>
          <t>Research Guide Directory 2026 is a public vit.ac.in page; this specific file was not individually confirmed.</t>
        </is>
      </c>
    </row>
    <row r="86">
      <c r="A86" s="4" t="n">
        <v>82</v>
      </c>
      <c r="B86" s="5" t="inlineStr">
        <is>
          <t>MML Programme Curriculum 2026-27</t>
        </is>
      </c>
      <c r="C86" s="5" t="inlineStr">
        <is>
          <t>Curriculum &amp; syllabus</t>
        </is>
      </c>
      <c r="D86" s="6" t="inlineStr">
        <is>
          <t>Public site, URL not recorded</t>
        </is>
      </c>
      <c r="E86" s="5" t="inlineStr">
        <is>
          <t>—</t>
        </is>
      </c>
      <c r="F86" s="4" t="n">
        <v>2</v>
      </c>
      <c r="G86" s="4" t="n">
        <v>0</v>
      </c>
      <c r="H86" s="4">
        <f>F86+G86</f>
        <v/>
      </c>
      <c r="I86" s="7">
        <f>H86/$H$93</f>
        <v/>
      </c>
      <c r="J86" s="5" t="inlineStr">
        <is>
          <t>Curriculum PDFs follow the vit.ac.in/wp-content/uploads/ series; same filename pattern as the verified ones.</t>
        </is>
      </c>
    </row>
    <row r="87">
      <c r="A87" s="4" t="n">
        <v>83</v>
      </c>
      <c r="B87" s="5" t="inlineStr">
        <is>
          <t>VIT Eligibility Criteria (Admissions)</t>
        </is>
      </c>
      <c r="C87" s="5" t="inlineStr">
        <is>
          <t>Admissions / research info</t>
        </is>
      </c>
      <c r="D87" s="6" t="inlineStr">
        <is>
          <t>Public site, URL not recorded</t>
        </is>
      </c>
      <c r="E87" s="5" t="inlineStr">
        <is>
          <t>—</t>
        </is>
      </c>
      <c r="F87" s="4" t="n">
        <v>2</v>
      </c>
      <c r="G87" s="4" t="n">
        <v>0</v>
      </c>
      <c r="H87" s="4">
        <f>F87+G87</f>
        <v/>
      </c>
      <c r="I87" s="7">
        <f>H87/$H$93</f>
        <v/>
      </c>
      <c r="J87" s="5" t="inlineStr"/>
    </row>
    <row r="88">
      <c r="A88" s="4" t="n">
        <v>84</v>
      </c>
      <c r="B88" s="5" t="inlineStr">
        <is>
          <t>Research Guide (VAIAL) July 2026</t>
        </is>
      </c>
      <c r="C88" s="5" t="inlineStr">
        <is>
          <t>Research guide (Ph.D.)</t>
        </is>
      </c>
      <c r="D88" s="6" t="inlineStr">
        <is>
          <t>Public site, URL not recorded</t>
        </is>
      </c>
      <c r="E88" s="10" t="inlineStr">
        <is>
          <t>https://vit.ac.in/research-guide-directory-2026</t>
        </is>
      </c>
      <c r="F88" s="4" t="n">
        <v>2</v>
      </c>
      <c r="G88" s="4" t="n">
        <v>0</v>
      </c>
      <c r="H88" s="4">
        <f>F88+G88</f>
        <v/>
      </c>
      <c r="I88" s="7">
        <f>H88/$H$93</f>
        <v/>
      </c>
      <c r="J88" s="5" t="inlineStr">
        <is>
          <t>Research Guide Directory 2026 is a public vit.ac.in page; this specific file was not individually confirmed.</t>
        </is>
      </c>
    </row>
    <row r="89">
      <c r="A89" s="4" t="n">
        <v>85</v>
      </c>
      <c r="B89" s="5" t="inlineStr">
        <is>
          <t>Research Guide (SCHEME) July 2026</t>
        </is>
      </c>
      <c r="C89" s="5" t="inlineStr">
        <is>
          <t>Research guide (Ph.D.)</t>
        </is>
      </c>
      <c r="D89" s="6" t="inlineStr">
        <is>
          <t>Public site, URL not recorded</t>
        </is>
      </c>
      <c r="E89" s="10" t="inlineStr">
        <is>
          <t>https://vit.ac.in/research-guide-directory-2026</t>
        </is>
      </c>
      <c r="F89" s="4" t="n">
        <v>2</v>
      </c>
      <c r="G89" s="4" t="n">
        <v>0</v>
      </c>
      <c r="H89" s="4">
        <f>F89+G89</f>
        <v/>
      </c>
      <c r="I89" s="7">
        <f>H89/$H$93</f>
        <v/>
      </c>
      <c r="J89" s="5" t="inlineStr">
        <is>
          <t>Research Guide Directory 2026 is a public vit.ac.in page; this specific file was not individually confirmed.</t>
        </is>
      </c>
    </row>
    <row r="90">
      <c r="A90" s="4" t="n">
        <v>86</v>
      </c>
      <c r="B90" s="5" t="inlineStr">
        <is>
          <t>M.Sc. Chemistry Curriculum 2025-26</t>
        </is>
      </c>
      <c r="C90" s="5" t="inlineStr">
        <is>
          <t>Curriculum &amp; syllabus</t>
        </is>
      </c>
      <c r="D90" s="6" t="inlineStr">
        <is>
          <t>Public site, URL not recorded</t>
        </is>
      </c>
      <c r="E90" s="5" t="inlineStr">
        <is>
          <t>—</t>
        </is>
      </c>
      <c r="F90" s="4" t="n">
        <v>1</v>
      </c>
      <c r="G90" s="4" t="n">
        <v>0</v>
      </c>
      <c r="H90" s="4">
        <f>F90+G90</f>
        <v/>
      </c>
      <c r="I90" s="7">
        <f>H90/$H$93</f>
        <v/>
      </c>
      <c r="J90" s="5" t="inlineStr">
        <is>
          <t>Curriculum PDFs follow the vit.ac.in/wp-content/uploads/ series; same filename pattern as the verified ones.</t>
        </is>
      </c>
    </row>
    <row r="91">
      <c r="A91" s="4" t="n">
        <v>87</v>
      </c>
      <c r="B91" s="5" t="inlineStr">
        <is>
          <t>M.Tech Cyber Security (MCS) Curriculum 2025-26</t>
        </is>
      </c>
      <c r="C91" s="5" t="inlineStr">
        <is>
          <t>Curriculum &amp; syllabus</t>
        </is>
      </c>
      <c r="D91" s="6" t="inlineStr">
        <is>
          <t>Public site, URL not recorded</t>
        </is>
      </c>
      <c r="E91" s="5" t="inlineStr">
        <is>
          <t>—</t>
        </is>
      </c>
      <c r="F91" s="4" t="n">
        <v>1</v>
      </c>
      <c r="G91" s="4" t="n">
        <v>0</v>
      </c>
      <c r="H91" s="4">
        <f>F91+G91</f>
        <v/>
      </c>
      <c r="I91" s="7">
        <f>H91/$H$93</f>
        <v/>
      </c>
      <c r="J91" s="5" t="inlineStr">
        <is>
          <t>Curriculum PDFs follow the vit.ac.in/wp-content/uploads/ series; same filename pattern as the verified ones.</t>
        </is>
      </c>
    </row>
    <row r="92">
      <c r="A92" s="4" t="n">
        <v>88</v>
      </c>
      <c r="B92" s="5" t="inlineStr">
        <is>
          <t>Integrated M.Tech CSE (Collaboration with Virtusa) Curriculum</t>
        </is>
      </c>
      <c r="C92" s="5" t="inlineStr">
        <is>
          <t>Curriculum &amp; syllabus</t>
        </is>
      </c>
      <c r="D92" s="6" t="inlineStr">
        <is>
          <t>Public site, URL not recorded</t>
        </is>
      </c>
      <c r="E92" s="5" t="inlineStr">
        <is>
          <t>—</t>
        </is>
      </c>
      <c r="F92" s="4" t="n">
        <v>1</v>
      </c>
      <c r="G92" s="4" t="n">
        <v>0</v>
      </c>
      <c r="H92" s="4">
        <f>F92+G92</f>
        <v/>
      </c>
      <c r="I92" s="7">
        <f>H92/$H$93</f>
        <v/>
      </c>
      <c r="J92" s="5" t="inlineStr">
        <is>
          <t>Curriculum PDFs follow the vit.ac.in/wp-content/uploads/ series; same filename pattern as the verified ones.</t>
        </is>
      </c>
    </row>
    <row r="93">
      <c r="A93" s="11" t="n"/>
      <c r="B93" s="12" t="inlineStr">
        <is>
          <t>TOTAL</t>
        </is>
      </c>
      <c r="C93" s="11" t="n"/>
      <c r="D93" s="11" t="n"/>
      <c r="E93" s="11" t="n"/>
      <c r="F93" s="13">
        <f>SUM(F5:F92)</f>
        <v/>
      </c>
      <c r="G93" s="13">
        <f>SUM(G5:G92)</f>
        <v/>
      </c>
      <c r="H93" s="13">
        <f>SUM(H5:H92)</f>
        <v/>
      </c>
      <c r="I93" s="14">
        <f>SUM(I5:I92)</f>
        <v/>
      </c>
      <c r="J93" s="11" t="n"/>
    </row>
    <row r="95">
      <c r="B95" s="15" t="inlineStr">
        <is>
          <t>Rows in final_qa_dataset.csv (input)</t>
        </is>
      </c>
      <c r="H95" s="16" t="n">
        <v>2349</v>
      </c>
    </row>
    <row r="96">
      <c r="B96" s="15" t="inlineStr">
        <is>
          <t>Check: table total matches dataset</t>
        </is>
      </c>
      <c r="H96" s="17">
        <f>IF(H93=H95,"OK","MISMATCH")</f>
        <v/>
      </c>
    </row>
    <row r="97">
      <c r="B97" s="2" t="inlineStr">
        <is>
          <t>Blue = typed-in input (row count read from the CSV). Everything else is calculated.</t>
        </is>
      </c>
    </row>
  </sheetData>
  <autoFilter ref="A4:J92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12" r:id="rId3"/>
    <hyperlink xmlns:r="http://schemas.openxmlformats.org/officeDocument/2006/relationships" ref="E13" r:id="rId4"/>
    <hyperlink xmlns:r="http://schemas.openxmlformats.org/officeDocument/2006/relationships" ref="E15" r:id="rId5"/>
    <hyperlink xmlns:r="http://schemas.openxmlformats.org/officeDocument/2006/relationships" ref="E19" r:id="rId6"/>
    <hyperlink xmlns:r="http://schemas.openxmlformats.org/officeDocument/2006/relationships" ref="E22" r:id="rId7"/>
    <hyperlink xmlns:r="http://schemas.openxmlformats.org/officeDocument/2006/relationships" ref="E29" r:id="rId8"/>
    <hyperlink xmlns:r="http://schemas.openxmlformats.org/officeDocument/2006/relationships" ref="E49" r:id="rId9"/>
    <hyperlink xmlns:r="http://schemas.openxmlformats.org/officeDocument/2006/relationships" ref="E57" r:id="rId10"/>
    <hyperlink xmlns:r="http://schemas.openxmlformats.org/officeDocument/2006/relationships" ref="E59" r:id="rId11"/>
    <hyperlink xmlns:r="http://schemas.openxmlformats.org/officeDocument/2006/relationships" ref="E61" r:id="rId12"/>
    <hyperlink xmlns:r="http://schemas.openxmlformats.org/officeDocument/2006/relationships" ref="E62" r:id="rId13"/>
    <hyperlink xmlns:r="http://schemas.openxmlformats.org/officeDocument/2006/relationships" ref="E68" r:id="rId14"/>
    <hyperlink xmlns:r="http://schemas.openxmlformats.org/officeDocument/2006/relationships" ref="E69" r:id="rId15"/>
    <hyperlink xmlns:r="http://schemas.openxmlformats.org/officeDocument/2006/relationships" ref="E72" r:id="rId16"/>
    <hyperlink xmlns:r="http://schemas.openxmlformats.org/officeDocument/2006/relationships" ref="E76" r:id="rId17"/>
    <hyperlink xmlns:r="http://schemas.openxmlformats.org/officeDocument/2006/relationships" ref="E77" r:id="rId18"/>
    <hyperlink xmlns:r="http://schemas.openxmlformats.org/officeDocument/2006/relationships" ref="E79" r:id="rId19"/>
    <hyperlink xmlns:r="http://schemas.openxmlformats.org/officeDocument/2006/relationships" ref="E81" r:id="rId20"/>
    <hyperlink xmlns:r="http://schemas.openxmlformats.org/officeDocument/2006/relationships" ref="E85" r:id="rId21"/>
    <hyperlink xmlns:r="http://schemas.openxmlformats.org/officeDocument/2006/relationships" ref="E88" r:id="rId22"/>
    <hyperlink xmlns:r="http://schemas.openxmlformats.org/officeDocument/2006/relationships" ref="E89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  <col width="20" customWidth="1" min="3" max="3"/>
    <col width="22" customWidth="1" min="4" max="4"/>
  </cols>
  <sheetData>
    <row r="1">
      <c r="A1" s="1" t="inlineStr">
        <is>
          <t>Data removed because its source is not publicly available</t>
        </is>
      </c>
    </row>
    <row r="3">
      <c r="A3" s="3" t="inlineStr">
        <is>
          <t>What was removed</t>
        </is>
      </c>
      <c r="B3" s="3" t="inlineStr">
        <is>
          <t>Why it counts as non-public</t>
        </is>
      </c>
      <c r="C3" s="3" t="inlineStr">
        <is>
          <t>Rows removed: final_qa_dataset.csv</t>
        </is>
      </c>
      <c r="D3" s="3" t="inlineStr">
        <is>
          <t>Rows removed: combined_qa_finetuning.csv</t>
        </is>
      </c>
    </row>
    <row r="4" ht="105" customHeight="1">
      <c r="A4" s="5" t="inlineStr">
        <is>
          <t>Company-specific placement / internship drive details for named recruiters: CTC, stipend, CGPA cut-offs, eligible branches and batch, locations, registration deadlines, test and interview dates.</t>
        </is>
      </c>
      <c r="B4" s="5" t="inlineStr">
        <is>
          <t>VIT's public CDC tracker (vit.ac.in/cdc-tracker) publishes only aggregate placement statistics, never per-company drive details. The removed rows match internal Career Development Centre circulars / the student portal. In the calibration set, rows were removed when the question text itself repeated a private figure (e.g. an INR stipend or LPA).</t>
        </is>
      </c>
      <c r="C4" s="4" t="n">
        <v>898</v>
      </c>
      <c r="D4" s="4" t="n">
        <v>380</v>
      </c>
    </row>
    <row r="5">
      <c r="A5" s="18" t="inlineStr">
        <is>
          <t>TOTAL</t>
        </is>
      </c>
      <c r="C5" s="17">
        <f>SUM(C4:C4)</f>
        <v/>
      </c>
      <c r="D5" s="17">
        <f>SUM(D4:D4)</f>
        <v/>
      </c>
    </row>
    <row r="7">
      <c r="A7" s="2" t="inlineStr">
        <is>
          <t>Kept on purpose: PhD fellowship stipends (published in the Research Guides / VITREE brochure) and curriculum rows that merely mention "internship" as a course category.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4" customWidth="1" min="3" max="3"/>
  </cols>
  <sheetData>
    <row r="1">
      <c r="A1" s="1" t="inlineStr">
        <is>
          <t>Cleanup summary</t>
        </is>
      </c>
    </row>
    <row r="3">
      <c r="A3" s="19" t="inlineStr">
        <is>
          <t>Metric</t>
        </is>
      </c>
      <c r="B3" s="19" t="inlineStr">
        <is>
          <t>final_qa_dataset.csv (knowledge Q&amp;A)</t>
        </is>
      </c>
      <c r="C3" s="19" t="inlineStr">
        <is>
          <t>combined_qa_finetuning.csv ("I don't know" set)</t>
        </is>
      </c>
    </row>
    <row r="4">
      <c r="A4" s="12" t="inlineStr">
        <is>
          <t>Original rows</t>
        </is>
      </c>
      <c r="B4" s="20" t="n">
        <v>3224</v>
      </c>
      <c r="C4" s="20" t="n">
        <v>1360</v>
      </c>
    </row>
    <row r="5">
      <c r="A5" s="12" t="inlineStr">
        <is>
          <t>Removed (non-public)</t>
        </is>
      </c>
      <c r="B5" s="21">
        <f>'Excluded (non-public)'!C5</f>
        <v/>
      </c>
      <c r="C5" s="21">
        <f>'Excluded (non-public)'!D5</f>
        <v/>
      </c>
    </row>
    <row r="6">
      <c r="A6" s="12" t="inlineStr">
        <is>
          <t>New rows added from newly found public documents</t>
        </is>
      </c>
      <c r="B6" s="20" t="n">
        <v>23</v>
      </c>
      <c r="C6" s="20" t="n">
        <v>0</v>
      </c>
    </row>
    <row r="7">
      <c r="A7" s="12" t="inlineStr">
        <is>
          <t>Final rows</t>
        </is>
      </c>
      <c r="B7" s="21">
        <f>B4-B5+B6</f>
        <v/>
      </c>
      <c r="C7" s="21">
        <f>C4-C5+C6</f>
        <v/>
      </c>
    </row>
    <row r="8">
      <c r="A8" s="12" t="inlineStr">
        <is>
          <t>Share of original removed</t>
        </is>
      </c>
      <c r="B8" s="22">
        <f>B5/B4</f>
        <v/>
      </c>
      <c r="C8" s="22">
        <f>C5/C4</f>
        <v/>
      </c>
    </row>
    <row r="11" ht="48" customHeight="1">
      <c r="A11" s="23" t="inlineStr">
        <is>
          <t>• Data-quality flag: 148 of the 2,349 rows in final_qa_dataset.csv contain garbled characters (UTF-8 en/em dashes and the rupee sign decoded wrongly, e.g. "â"). The models were trained on these rows. The demo website repairs them at display time only.</t>
        </is>
      </c>
    </row>
    <row r="12" ht="48" customHeight="1">
      <c r="A12" s="23" t="inlineStr">
        <is>
          <t>• combined_qa_finetuning.csv is a deliberate "I don't know" set. Generic or vague questions were kept; rows repeating real private placement figures were removed. Chat-template tokens (&lt;|end|&gt;) that had leaked into 389 question fields were stripped.</t>
        </is>
      </c>
    </row>
    <row r="13" ht="48" customHeight="1">
      <c r="A13" s="23" t="inlineStr">
        <is>
          <t>• Attribution method: course codes found in each row are matched to the text of the 96 curriculum PDFs; rows without a code are matched by programme name / acronym, then by topic keywords. It is automatic, so treat per-resource counts as close estimates, not exact.</t>
        </is>
      </c>
    </row>
    <row r="14" ht="48" customHeight="1">
      <c r="A14" s="23" t="inlineStr">
        <is>
          <t>• The 96 curriculum, research and handbook PDFs were supplied by the project author; URLs are only listed where they were confirmed on vit.ac.in.</t>
        </is>
      </c>
    </row>
  </sheetData>
  <mergeCells count="4">
    <mergeCell ref="A12:C12"/>
    <mergeCell ref="A14:C14"/>
    <mergeCell ref="A13:C1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2026-09-28T08:53:12Z</dcterms:created>
  <dcterms:modified xmlns:dcterms="http://purl.org/dc/terms/" xmlns:xsi="http://www.w3.org/2001/XMLSchema-instance" xsi:type="dcterms:W3CDTF">2026-09-28T08:53:12Z</dcterms:modified>
</cp:coreProperties>
</file>